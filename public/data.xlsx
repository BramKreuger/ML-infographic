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K\Projecten\Digitaal beheer luchtvaarterfgoed RCE\"/>
    </mc:Choice>
  </mc:AlternateContent>
  <xr:revisionPtr revIDLastSave="0" documentId="13_ncr:1_{C47CDBE3-5583-4781-807B-6210F591A741}" xr6:coauthVersionLast="47" xr6:coauthVersionMax="47" xr10:uidLastSave="{00000000-0000-0000-0000-000000000000}"/>
  <bookViews>
    <workbookView xWindow="-110" yWindow="-110" windowWidth="38620" windowHeight="21100" xr2:uid="{6F5C6569-2FC6-4B6F-93FB-F80BFAA41A4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39" i="1"/>
  <c r="I176" i="1"/>
  <c r="I214" i="1"/>
  <c r="I26" i="1"/>
  <c r="I44" i="1"/>
  <c r="I134" i="1"/>
  <c r="I14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0" i="1"/>
  <c r="I31" i="1"/>
  <c r="I32" i="1"/>
  <c r="I33" i="1"/>
  <c r="I34" i="1"/>
  <c r="I35" i="1"/>
  <c r="I36" i="1"/>
  <c r="I37" i="1"/>
  <c r="I38" i="1"/>
  <c r="I41" i="1"/>
  <c r="I42" i="1"/>
  <c r="I43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5" i="1"/>
  <c r="I136" i="1"/>
  <c r="I137" i="1"/>
  <c r="I138" i="1"/>
  <c r="I139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40" i="1" l="1"/>
</calcChain>
</file>

<file path=xl/sharedStrings.xml><?xml version="1.0" encoding="utf-8"?>
<sst xmlns="http://schemas.openxmlformats.org/spreadsheetml/2006/main" count="703" uniqueCount="457">
  <si>
    <t>Typenaam</t>
  </si>
  <si>
    <t>Gebruikers</t>
  </si>
  <si>
    <t>Jaar invoering</t>
  </si>
  <si>
    <t>Jaar uit dienst</t>
  </si>
  <si>
    <t>Totaal</t>
  </si>
  <si>
    <t>Bijzonderheden</t>
  </si>
  <si>
    <t>LVA</t>
  </si>
  <si>
    <t>Neergestort SSB</t>
  </si>
  <si>
    <t>MLD</t>
  </si>
  <si>
    <t>KLU</t>
  </si>
  <si>
    <t>Augusta Bell 412SP</t>
  </si>
  <si>
    <t>Verkocht naar Peru</t>
  </si>
  <si>
    <t>Airco DeHavilland DH-4</t>
  </si>
  <si>
    <t>Afgevoerd</t>
  </si>
  <si>
    <t>LVA - MLKNIL</t>
  </si>
  <si>
    <r>
      <t xml:space="preserve">16 LVA 36 MLKNIL - 1 LVA crash in zee </t>
    </r>
    <r>
      <rPr>
        <sz val="11"/>
        <color rgb="FFFF0000"/>
        <rFont val="Aptos Narrow"/>
        <family val="2"/>
        <scheme val="minor"/>
      </rPr>
      <t>onderzoek</t>
    </r>
  </si>
  <si>
    <t>RAF - Klu - MLD</t>
  </si>
  <si>
    <t>afgevoerd</t>
  </si>
  <si>
    <t>Klu afgevoerd (2 naar MLD) - MLD afgevoerd</t>
  </si>
  <si>
    <t>Afgevoerd - na crashes gesloopt</t>
  </si>
  <si>
    <r>
      <t xml:space="preserve">LA afgevoerd - MLKNIL enkele ongelukken </t>
    </r>
    <r>
      <rPr>
        <sz val="11"/>
        <color rgb="FFFF0000"/>
        <rFont val="Aptos Narrow"/>
        <family val="2"/>
        <scheme val="minor"/>
      </rPr>
      <t>onderzoek</t>
    </r>
  </si>
  <si>
    <t>LSK - Klu - MLD</t>
  </si>
  <si>
    <r>
      <t xml:space="preserve">LSK/MLD </t>
    </r>
    <r>
      <rPr>
        <sz val="11"/>
        <color rgb="FFFF0000"/>
        <rFont val="Aptos Narrow"/>
        <family val="2"/>
        <scheme val="minor"/>
      </rPr>
      <t>onderzoeken</t>
    </r>
    <r>
      <rPr>
        <sz val="11"/>
        <color theme="1"/>
        <rFont val="Aptos Narrow"/>
        <family val="2"/>
        <scheme val="minor"/>
      </rPr>
      <t xml:space="preserve"> Klu 2 verongelukt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</si>
  <si>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>LSK</t>
  </si>
  <si>
    <t>KLu</t>
  </si>
  <si>
    <r>
      <t xml:space="preserve">Enkele ongevallen crashes vliegschool USA </t>
    </r>
    <r>
      <rPr>
        <sz val="11"/>
        <color rgb="FFFF0000"/>
        <rFont val="Aptos Narrow"/>
        <family val="2"/>
        <scheme val="minor"/>
      </rPr>
      <t>onderzoek</t>
    </r>
  </si>
  <si>
    <t>heden</t>
  </si>
  <si>
    <t>Toestel Prins Bernard vernield bombardement Evere</t>
  </si>
  <si>
    <t>Airco DeHavilland DH-9</t>
  </si>
  <si>
    <t xml:space="preserve">Airspeed AS-10 Oxford MkII </t>
  </si>
  <si>
    <t xml:space="preserve">Albatros B.I </t>
  </si>
  <si>
    <t xml:space="preserve">Albatros B.II </t>
  </si>
  <si>
    <t xml:space="preserve">Albatros B.III </t>
  </si>
  <si>
    <t xml:space="preserve">Albatros C.VII </t>
  </si>
  <si>
    <t xml:space="preserve">Albatros C.III </t>
  </si>
  <si>
    <t xml:space="preserve">Albatros C.X </t>
  </si>
  <si>
    <t xml:space="preserve">Albatros D.III </t>
  </si>
  <si>
    <t>Ansaldo SVA-10</t>
  </si>
  <si>
    <t xml:space="preserve">Aviatik C.III </t>
  </si>
  <si>
    <t>AVRO 504</t>
  </si>
  <si>
    <t>AVRO Type 652A Anson Mk I</t>
  </si>
  <si>
    <t>Beechcraft AT-11 Kansan</t>
  </si>
  <si>
    <t>Beechcraft Model 17</t>
  </si>
  <si>
    <t>Beechcraft Model 18</t>
  </si>
  <si>
    <r>
      <t xml:space="preserve">2 gecrasht Afghanistan,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</t>
    </r>
  </si>
  <si>
    <t>Boeing-Vertol CH-47D/F Chinook</t>
  </si>
  <si>
    <t>2 neergestort nrs 223 en 224 wrakken geborgen</t>
  </si>
  <si>
    <t>MLKNIL</t>
  </si>
  <si>
    <r>
      <t>2 in ze gestort Noorwegen en Schotland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1 noodlanding Wassenaar</t>
    </r>
  </si>
  <si>
    <t>Breguet BR.1150 Atlantic</t>
  </si>
  <si>
    <t>Brewster B.339 Buffalo</t>
  </si>
  <si>
    <r>
      <t xml:space="preserve">24 C en 48 D variant waarvan 14 afgeschreven (gesloopt), minstens 4 in Japanse handen , 10 stuks neergeschoten/verongelukt en 6 niet afgeleverd en naar RAAF/USAAF gegaan - </t>
    </r>
    <r>
      <rPr>
        <sz val="11"/>
        <color rgb="FFFF0000"/>
        <rFont val="Aptos Narrow"/>
        <family val="2"/>
        <scheme val="minor"/>
      </rPr>
      <t>onderzoek</t>
    </r>
  </si>
  <si>
    <t>Ml - MLKNIL</t>
  </si>
  <si>
    <r>
      <t xml:space="preserve">ML overgenomen Luftwaffe - MLKNIL opleiding ook ongelukken </t>
    </r>
    <r>
      <rPr>
        <sz val="11"/>
        <color rgb="FFFF0000"/>
        <rFont val="Aptos Narrow"/>
        <family val="2"/>
        <scheme val="minor"/>
      </rPr>
      <t>onderzoek</t>
    </r>
  </si>
  <si>
    <t>Bristol F2B Fighter</t>
  </si>
  <si>
    <t>Bücker Bü-131 Jungmann</t>
  </si>
  <si>
    <r>
      <t>21 in Indië 1 neergestort Javazee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en 20 in NL afgeschreven</t>
    </r>
  </si>
  <si>
    <t>Van Berkel WA</t>
  </si>
  <si>
    <t>Afgeschreven</t>
  </si>
  <si>
    <t>Van Berkel WB</t>
  </si>
  <si>
    <t>Caudron G.IV</t>
  </si>
  <si>
    <t>Samengebouwd tot wsl 30 stuks. 3 verongelukt en 21 overgedragen AURI in 1949</t>
  </si>
  <si>
    <t xml:space="preserve">Commonwhealth CA-6 Wackett </t>
  </si>
  <si>
    <r>
      <t xml:space="preserve">2 geleend RAF - 2 verongelukt 7 retour RAF en 6 gesloopt </t>
    </r>
    <r>
      <rPr>
        <sz val="11"/>
        <color rgb="FFFF0000"/>
        <rFont val="Aptos Narrow"/>
        <family val="2"/>
        <scheme val="minor"/>
      </rPr>
      <t>Onderzoek</t>
    </r>
  </si>
  <si>
    <r>
      <t xml:space="preserve">19 stuks neergeschoten, verongelukt, noodlanding </t>
    </r>
    <r>
      <rPr>
        <sz val="11"/>
        <color rgb="FFFF0000"/>
        <rFont val="Aptos Narrow"/>
        <family val="2"/>
        <scheme val="minor"/>
      </rPr>
      <t>Onderzoek</t>
    </r>
  </si>
  <si>
    <t xml:space="preserve">Consolidated B-24D &amp; -J Liberator </t>
  </si>
  <si>
    <t xml:space="preserve">Consolidated PBY-5/5A Catalina </t>
  </si>
  <si>
    <r>
      <t xml:space="preserve">Inzet en verliezen? </t>
    </r>
    <r>
      <rPr>
        <sz val="11"/>
        <color rgb="FFFF0000"/>
        <rFont val="Aptos Narrow"/>
        <family val="2"/>
        <scheme val="minor"/>
      </rPr>
      <t>Onderzoek</t>
    </r>
  </si>
  <si>
    <r>
      <t xml:space="preserve">9 gebouwd in NL tenminste 1 verongelukt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</si>
  <si>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 xml:space="preserve">Curtiss H-12 </t>
  </si>
  <si>
    <t xml:space="preserve">Curtiss Hawk 75A-7 </t>
  </si>
  <si>
    <t xml:space="preserve">Curtiss Hawk I </t>
  </si>
  <si>
    <r>
      <t xml:space="preserve">24 Warhawks bij RNMFS en 67 bij 120 Sq - tenminste 20 crashes, ongelukken en neergeschoten -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</si>
  <si>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>Curtiss P-40 Warhawk &amp; Kittyhawk</t>
  </si>
  <si>
    <r>
      <t xml:space="preserve">Allen verloren gegaan Java -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</t>
    </r>
  </si>
  <si>
    <t>Curtiss-Wright CW-21B Interceptor</t>
  </si>
  <si>
    <r>
      <t xml:space="preserve">61 besteld, 35 afgeleverd - allen verloren gegaan - </t>
    </r>
    <r>
      <rPr>
        <sz val="11"/>
        <color rgb="FFFF0000"/>
        <rFont val="Aptos Narrow"/>
        <family val="2"/>
        <scheme val="minor"/>
      </rPr>
      <t>Onderzoek</t>
    </r>
  </si>
  <si>
    <t xml:space="preserve">Curtiss-Wright CW-22 Falcon </t>
  </si>
  <si>
    <t xml:space="preserve">DeHavilland Canada DHC-2 Beaver </t>
  </si>
  <si>
    <t>Wrak - museaal - vliegend</t>
  </si>
  <si>
    <t>Augusta Bell UH1</t>
  </si>
  <si>
    <t>AEG C-IV</t>
  </si>
  <si>
    <t>De S-6 collectie NMM, de S-9 collectie SHVK</t>
  </si>
  <si>
    <t>DeHavilland DH-82 Tiger Moth</t>
  </si>
  <si>
    <t>Klu - MLD</t>
  </si>
  <si>
    <t xml:space="preserve">DeHavilland DH-89B Dominie </t>
  </si>
  <si>
    <t>1 gescrasht en de V3 naar het NMM</t>
  </si>
  <si>
    <t xml:space="preserve">DFW C.V </t>
  </si>
  <si>
    <t>Uit dienst onzeker</t>
  </si>
  <si>
    <t>Dornier Do-24K</t>
  </si>
  <si>
    <t>Zie pilot DO24 voor meer details - 6 gevonden wrakken - 19 mogelijk nog in Indonesië</t>
  </si>
  <si>
    <t>Dornier Wal</t>
  </si>
  <si>
    <r>
      <t xml:space="preserve">In verschillende uitvoeringen - tenminste 36 in NL gebouwd - tenminste 5 crashes, ongelukken en neergeschoten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 </t>
    </r>
  </si>
  <si>
    <t>Douglas C-54 Skymaster</t>
  </si>
  <si>
    <t>Deels overgegaan naar de KLM</t>
  </si>
  <si>
    <t>Douglas DB-7/A20 Boston</t>
  </si>
  <si>
    <t>MLD - MLKNIL</t>
  </si>
  <si>
    <t>48 besteld, 6 afgeleverd Tjilatjap en 2 gevlogen - 1 in Japanse handen</t>
  </si>
  <si>
    <t>Douglas DB-8A/3N</t>
  </si>
  <si>
    <r>
      <t xml:space="preserve">Ingezet Meidagen '40 - allen verloren gegaan en tenminste 6 in Duitse handen </t>
    </r>
    <r>
      <rPr>
        <sz val="11"/>
        <color rgb="FFFF0000"/>
        <rFont val="Aptos Narrow"/>
        <family val="2"/>
        <scheme val="minor"/>
      </rPr>
      <t>Onderzoek</t>
    </r>
  </si>
  <si>
    <t>Douglas DC-2</t>
  </si>
  <si>
    <t>In dienst bij 1316 Dutch Communications Flight</t>
  </si>
  <si>
    <t>Douglas DC-3/C-47</t>
  </si>
  <si>
    <t>Eurocopter AS.532 Cougar U2</t>
  </si>
  <si>
    <t>Klu</t>
  </si>
  <si>
    <t>Fairey Barracuda Mk. II/III</t>
  </si>
  <si>
    <t>Bij 860 Sq FAA - geleende toestellen van de RAF</t>
  </si>
  <si>
    <t>Fairey Firefly</t>
  </si>
  <si>
    <r>
      <t xml:space="preserve">30 MkI wv 6 neergeschoten of vermist -  39 MkIV wv 3 verongelukt op zee - 18 MkV wv 1 in zee - 7 TMkI en V - </t>
    </r>
    <r>
      <rPr>
        <sz val="11"/>
        <color rgb="FFFF0000"/>
        <rFont val="Aptos Narrow"/>
        <family val="2"/>
        <scheme val="minor"/>
      </rPr>
      <t>onderzoek</t>
    </r>
  </si>
  <si>
    <t>Fairey IIID</t>
  </si>
  <si>
    <t>Boordvliegtuigen NOI</t>
  </si>
  <si>
    <t>Fairy Swordfish</t>
  </si>
  <si>
    <r>
      <t xml:space="preserve">Geleend FAA - 5 in zee verloren </t>
    </r>
    <r>
      <rPr>
        <sz val="11"/>
        <color rgb="FFFF0000"/>
        <rFont val="Aptos Narrow"/>
        <family val="2"/>
        <scheme val="minor"/>
      </rPr>
      <t>onderzoek</t>
    </r>
  </si>
  <si>
    <t>Farman HF-20 en HF-22</t>
  </si>
  <si>
    <t>LVA - MLD - MLKNIL</t>
  </si>
  <si>
    <t>Veel ongelukken - allen afgeschreven - deels overlap toestellen LVA - MLD - MLKNIL</t>
  </si>
  <si>
    <t>Farman MF-40</t>
  </si>
  <si>
    <t>Geinterneerd - afgeschreven</t>
  </si>
  <si>
    <t>Felixstowe F2A</t>
  </si>
  <si>
    <t>Geinterneerd - weinig van bekend</t>
  </si>
  <si>
    <t>Focke-Wulf FW-56 Stösser</t>
  </si>
  <si>
    <t>Oorlogsbuit</t>
  </si>
  <si>
    <t>Focke-Wulf FW-58B-2 Weihe</t>
  </si>
  <si>
    <t>ML</t>
  </si>
  <si>
    <t>Verloren bij bombardementen - 1 in zee Texel</t>
  </si>
  <si>
    <t>Fokker 50</t>
  </si>
  <si>
    <t>Fokker 60</t>
  </si>
  <si>
    <t xml:space="preserve">Fokker A.1 (M.8) </t>
  </si>
  <si>
    <t>Geinterneerd</t>
  </si>
  <si>
    <t>Fokker B1.</t>
  </si>
  <si>
    <t xml:space="preserve">Fokker C.I </t>
  </si>
  <si>
    <t>LVA - MLD</t>
  </si>
  <si>
    <t xml:space="preserve">Fokker C.IV </t>
  </si>
  <si>
    <t>Fokker C.IX</t>
  </si>
  <si>
    <t>1 in Duitse handen (?)</t>
  </si>
  <si>
    <t>Fokker C.V en C.VI</t>
  </si>
  <si>
    <t xml:space="preserve">Zeker 10 buitgemaakt Luftwaffe </t>
  </si>
  <si>
    <t xml:space="preserve">Fokker C.VIII </t>
  </si>
  <si>
    <t>Buitgemaakt Luftwaffe</t>
  </si>
  <si>
    <t>Fokker C.VIIIw</t>
  </si>
  <si>
    <t>5 naar UK ontkomen mei '40, daar gesloopt.</t>
  </si>
  <si>
    <t>Fokker C.VIIw</t>
  </si>
  <si>
    <t>Fokker C.X</t>
  </si>
  <si>
    <t>7 buitgemaakt Luftwaffe</t>
  </si>
  <si>
    <t>Fokker C.XIVw</t>
  </si>
  <si>
    <t>In NL en NOI - allen vernield bombardementen</t>
  </si>
  <si>
    <t>Fokker C.XIw</t>
  </si>
  <si>
    <t>6 vernietigd Meer van Lengkong</t>
  </si>
  <si>
    <t>Fokker D.C.I</t>
  </si>
  <si>
    <t xml:space="preserve">Fokker D.III </t>
  </si>
  <si>
    <t>Fokker D.VII</t>
  </si>
  <si>
    <t>D20 MLD nu in NMM</t>
  </si>
  <si>
    <t>Fokker D.XVI</t>
  </si>
  <si>
    <t>1 buitgemaakt Luftwaffe</t>
  </si>
  <si>
    <t>Fokker D.XVII</t>
  </si>
  <si>
    <t>Fokker D.XXI</t>
  </si>
  <si>
    <t>ML - MLKNIL</t>
  </si>
  <si>
    <t>wsl 8 buitgemaakt Luftwaffe</t>
  </si>
  <si>
    <t>Fokker F.27</t>
  </si>
  <si>
    <t>Fokker F.VII/3m</t>
  </si>
  <si>
    <t>Fokker G.1</t>
  </si>
  <si>
    <r>
      <t xml:space="preserve">35 met Mercury motoren en 25 met Wasp motoren - 31 stuks naar de Luftwaffe (één zou in de </t>
    </r>
    <r>
      <rPr>
        <sz val="11"/>
        <color rgb="FFFF0000"/>
        <rFont val="Aptos Narrow"/>
        <family val="2"/>
        <scheme val="minor"/>
      </rPr>
      <t>Bodensee</t>
    </r>
    <r>
      <rPr>
        <sz val="11"/>
        <color theme="1"/>
        <rFont val="Aptos Narrow"/>
        <family val="2"/>
        <scheme val="minor"/>
      </rPr>
      <t xml:space="preserve"> liggen)</t>
    </r>
  </si>
  <si>
    <t>Fokker S.11 Instructor</t>
  </si>
  <si>
    <t>Fokker S.14 Machtrainer</t>
  </si>
  <si>
    <t>Fokker S.II</t>
  </si>
  <si>
    <t>Fokker S.III</t>
  </si>
  <si>
    <t>Fokker S.IV</t>
  </si>
  <si>
    <r>
      <t xml:space="preserve">Diverse crashes en ongelukken. 1 naar Aviodrome. </t>
    </r>
    <r>
      <rPr>
        <sz val="11"/>
        <color rgb="FFFF0000"/>
        <rFont val="Aptos Narrow"/>
        <family val="2"/>
        <scheme val="minor"/>
      </rPr>
      <t>Onderzoeken</t>
    </r>
    <r>
      <rPr>
        <sz val="11"/>
        <color theme="1"/>
        <rFont val="Aptos Narrow"/>
        <family val="2"/>
        <scheme val="minor"/>
      </rPr>
      <t>. 1 naar MLKNIL en NOI, geen gegevens.</t>
    </r>
  </si>
  <si>
    <t>Fokker S.IX</t>
  </si>
  <si>
    <t>ML - MLD</t>
  </si>
  <si>
    <r>
      <t xml:space="preserve">14 stuks uitgeweken naar Frankrijk mei 1940. 1 crash </t>
    </r>
    <r>
      <rPr>
        <sz val="11"/>
        <color rgb="FFFF0000"/>
        <rFont val="Aptos Narrow"/>
        <family val="2"/>
        <scheme val="minor"/>
      </rPr>
      <t>België</t>
    </r>
  </si>
  <si>
    <t>Fokker T.IVw</t>
  </si>
  <si>
    <r>
      <t xml:space="preserve">Twee series van 12 stuks. De tweede serie veel moderner en ook in WOII nog ingezet. Zeker 8 afgezonken meer van </t>
    </r>
    <r>
      <rPr>
        <sz val="11"/>
        <color rgb="FFFF0000"/>
        <rFont val="Aptos Narrow"/>
        <family val="2"/>
        <scheme val="minor"/>
      </rPr>
      <t>Lengkong</t>
    </r>
  </si>
  <si>
    <t>Fokker T.V</t>
  </si>
  <si>
    <t>Van de 16 bestlde toestellen 9 actief in mei 1940. Zeker 5 door Luftwaffe buit gemaakt</t>
  </si>
  <si>
    <t>Fokker T. VIIIw</t>
  </si>
  <si>
    <r>
      <t xml:space="preserve">19 en 12 besteld. In mei 40 9 beschikbaar en deels naar UK. Anderen voor Luftwaffe afgebouwd en oa in Middellandse Zee ingezet (en </t>
    </r>
    <r>
      <rPr>
        <sz val="11"/>
        <color rgb="FFFF0000"/>
        <rFont val="Aptos Narrow"/>
        <family val="2"/>
        <scheme val="minor"/>
      </rPr>
      <t>verloren</t>
    </r>
    <r>
      <rPr>
        <sz val="11"/>
        <color theme="1"/>
        <rFont val="Aptos Narrow"/>
        <family val="2"/>
        <scheme val="minor"/>
      </rPr>
      <t>?)</t>
    </r>
  </si>
  <si>
    <t>Friedrichshafen FF.19</t>
  </si>
  <si>
    <t>Friedrichshafen FF.29</t>
  </si>
  <si>
    <t>Friedrichshafen FF.33</t>
  </si>
  <si>
    <t>3 geinterneerd, 18 bijbesteld.</t>
  </si>
  <si>
    <t>Friedrichshafen FF.49</t>
  </si>
  <si>
    <t>geinterneerd</t>
  </si>
  <si>
    <t>Friedrichshafen G-III</t>
  </si>
  <si>
    <t>Gloster Meteor F.Mk.4, F.Mk.8 &amp; T.Mk.7</t>
  </si>
  <si>
    <t>6 Klu trainers Mk 7 naar de MLD. Heel veel ongelukken en crashes. Van elk type 1 in NMM</t>
  </si>
  <si>
    <t>Gulfstream G.IV</t>
  </si>
  <si>
    <t>Oudste type al afgevoerd, nog één in gebruik</t>
  </si>
  <si>
    <t>Gotha WD-11</t>
  </si>
  <si>
    <t>Geinterneerd. Nooit gebruikt</t>
  </si>
  <si>
    <t>General Dynamics F-16</t>
  </si>
  <si>
    <r>
      <t>177 F-16A en 36 F-16B - 3 crashes op zee en in Afghanistan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, meerdere naar NMM en meerdere naar Oekraine.</t>
    </r>
  </si>
  <si>
    <t>General Atomics MQ-9</t>
  </si>
  <si>
    <t>Onbemand toestel</t>
  </si>
  <si>
    <t>Gothe G4</t>
  </si>
  <si>
    <t>Grumman S-2 Tracker</t>
  </si>
  <si>
    <t>Grumman TBM-3 Avenger</t>
  </si>
  <si>
    <t>MDAP levering - 2 typen - a/b Karel Doorman - 1 verloren in zee Gibraltar - meerdere bij Aviodrome en NMM</t>
  </si>
  <si>
    <r>
      <t xml:space="preserve">3 typen - a/b Karel Doorman - zeker 11 in zee verloren en wsl niet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 xml:space="preserve"> </t>
    </r>
  </si>
  <si>
    <t>Halberstadt CL.II</t>
  </si>
  <si>
    <t>Halberstadt CL.IV</t>
  </si>
  <si>
    <t>Handley Page O/400</t>
  </si>
  <si>
    <t>Hannover CL.II</t>
  </si>
  <si>
    <t>Hansa Brandenburg W.12</t>
  </si>
  <si>
    <t>Aantal Klu</t>
  </si>
  <si>
    <t>Aantal MLD</t>
  </si>
  <si>
    <t>Aantal MLKNIL</t>
  </si>
  <si>
    <t>geinterneerd - voorbeeld voor de Van Berkel WA</t>
  </si>
  <si>
    <t>Hansa Brandenburg W.29</t>
  </si>
  <si>
    <t>Hawker Hunter Mk4 - Mk6 - Mk7</t>
  </si>
  <si>
    <r>
      <t xml:space="preserve">96/93/20 van elk type -  1 nog in </t>
    </r>
    <r>
      <rPr>
        <sz val="11"/>
        <color rgb="FFFF0000"/>
        <rFont val="Aptos Narrow"/>
        <family val="2"/>
        <scheme val="minor"/>
      </rPr>
      <t>Biak</t>
    </r>
    <r>
      <rPr>
        <sz val="11"/>
        <color theme="1"/>
        <rFont val="Aptos Narrow"/>
        <family val="2"/>
        <scheme val="minor"/>
      </rPr>
      <t xml:space="preserve">? - 1 in zee </t>
    </r>
    <r>
      <rPr>
        <sz val="11"/>
        <color rgb="FFFF0000"/>
        <rFont val="Aptos Narrow"/>
        <family val="2"/>
        <scheme val="minor"/>
      </rPr>
      <t>Geelvinckbaai</t>
    </r>
    <r>
      <rPr>
        <sz val="11"/>
        <color theme="1"/>
        <rFont val="Aptos Narrow"/>
        <family val="2"/>
        <scheme val="minor"/>
      </rPr>
      <t xml:space="preserve"> NG - van elk type 1 in collectie NMM </t>
    </r>
  </si>
  <si>
    <t>Hawker Hurricane Mk II</t>
  </si>
  <si>
    <r>
      <t xml:space="preserve">Ca 12 van de 39 op Java aangekomen toestellen bij ML gebruikt. Lot zeer onduidelijk. Wellicht wrakdelen op Java </t>
    </r>
    <r>
      <rPr>
        <sz val="11"/>
        <color rgb="FFFF0000"/>
        <rFont val="Aptos Narrow"/>
        <family val="2"/>
        <scheme val="minor"/>
      </rPr>
      <t>aanwezig</t>
    </r>
    <r>
      <rPr>
        <sz val="11"/>
        <color theme="1"/>
        <rFont val="Aptos Narrow"/>
        <family val="2"/>
        <scheme val="minor"/>
      </rPr>
      <t xml:space="preserve">. </t>
    </r>
  </si>
  <si>
    <t>Hawker Sea Fury Mk 50 Mk 60 en Mk 11</t>
  </si>
  <si>
    <r>
      <t xml:space="preserve">Zeker 4 toestellen in zee en wsl niet </t>
    </r>
    <r>
      <rPr>
        <sz val="11"/>
        <color rgb="FFFF0000"/>
        <rFont val="Aptos Narrow"/>
        <family val="2"/>
        <scheme val="minor"/>
      </rPr>
      <t>geborgen</t>
    </r>
  </si>
  <si>
    <t>Donatie Fokker, geen serie aangekocht</t>
  </si>
  <si>
    <t>Hawker Seahawk FGA.50</t>
  </si>
  <si>
    <r>
      <t xml:space="preserve">Zeker 2 in zee -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 xml:space="preserve">? </t>
    </r>
  </si>
  <si>
    <t>Hiller H-23 Raven</t>
  </si>
  <si>
    <t>MDAP levering - 1 in collectie NMM</t>
  </si>
  <si>
    <t>Koolhoven FK.31</t>
  </si>
  <si>
    <t>Koolhoven FK.43</t>
  </si>
  <si>
    <t>twee ex KLM toestellen</t>
  </si>
  <si>
    <t>Koolhoven FK.49</t>
  </si>
  <si>
    <t>Vliegtuig met aan boord een donkere kamer voor luchtfotografie</t>
  </si>
  <si>
    <t>Koolhoven FK.51</t>
  </si>
  <si>
    <t>ML - MLD - MLKNIL</t>
  </si>
  <si>
    <r>
      <t xml:space="preserve">Aantal ML buitgemaakt </t>
    </r>
    <r>
      <rPr>
        <sz val="11"/>
        <color rgb="FFFF0000"/>
        <rFont val="Aptos Narrow"/>
        <family val="2"/>
        <scheme val="minor"/>
      </rPr>
      <t>Luftwaffe</t>
    </r>
    <r>
      <rPr>
        <sz val="11"/>
        <color theme="1"/>
        <rFont val="Aptos Narrow"/>
        <family val="2"/>
        <scheme val="minor"/>
      </rPr>
      <t xml:space="preserve"> - 45 van de 60 MLKNIL afgeleverd NOI en veel </t>
    </r>
    <r>
      <rPr>
        <sz val="11"/>
        <color rgb="FFFF0000"/>
        <rFont val="Aptos Narrow"/>
        <family val="2"/>
        <scheme val="minor"/>
      </rPr>
      <t>neergeschoten</t>
    </r>
    <r>
      <rPr>
        <sz val="11"/>
        <color theme="1"/>
        <rFont val="Aptos Narrow"/>
        <family val="2"/>
        <scheme val="minor"/>
      </rPr>
      <t xml:space="preserve"> door de Japenners, ook </t>
    </r>
    <r>
      <rPr>
        <sz val="11"/>
        <color rgb="FFFF0000"/>
        <rFont val="Aptos Narrow"/>
        <family val="2"/>
        <scheme val="minor"/>
      </rPr>
      <t>buitgemaakt</t>
    </r>
    <r>
      <rPr>
        <sz val="11"/>
        <color theme="1"/>
        <rFont val="Aptos Narrow"/>
        <family val="2"/>
        <scheme val="minor"/>
      </rPr>
      <t xml:space="preserve">? </t>
    </r>
  </si>
  <si>
    <t>Koolhoven FK.52</t>
  </si>
  <si>
    <t>Mei '40 gereed maar nooit afgeleverd</t>
  </si>
  <si>
    <t>Koolhoven FK.56</t>
  </si>
  <si>
    <t>Net afgeleverd, allen vernietigd</t>
  </si>
  <si>
    <t>Lockheed Model 12 / 212 / 14</t>
  </si>
  <si>
    <r>
      <t xml:space="preserve">16 ML machines deels gebruikt in US (RNMFS) en deels door naar UK en Klu. 21 KNIL toestellen in NOI verloren gegaan (behalve de 201 die naar Ceylon ontsnapte) - 4 KNILM toestellen naar AUS en daar overgegaan naar USAF - </t>
    </r>
    <r>
      <rPr>
        <sz val="11"/>
        <color rgb="FFFF0000"/>
        <rFont val="Aptos Narrow"/>
        <family val="2"/>
        <scheme val="minor"/>
      </rPr>
      <t xml:space="preserve">onderzoek nodig </t>
    </r>
  </si>
  <si>
    <t>Lockheed C-130 Hercules</t>
  </si>
  <si>
    <t>Twee versies, elk 2 toestellen</t>
  </si>
  <si>
    <t>Lockheed F-35A</t>
  </si>
  <si>
    <t>Lockheed F104G / TF-104G</t>
  </si>
  <si>
    <r>
      <t>Fighter en Trainer - veel crashes waarvan zeker 5 in zee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 Meerdere in collectie NMM en Aviodrome en andere musea</t>
    </r>
  </si>
  <si>
    <t>Lockheed Harpoon PV-2</t>
  </si>
  <si>
    <t>Onder MDAP geleverd allen retour US Navy</t>
  </si>
  <si>
    <t>Lockheed Hudson</t>
  </si>
  <si>
    <t>LSK - MLD</t>
  </si>
  <si>
    <r>
      <t xml:space="preserve">Bij 320 Sq vanuit de UK - zeker 16 machines boven zee verloren gegaan en vrijwel geen enkele geborgen - </t>
    </r>
    <r>
      <rPr>
        <sz val="11"/>
        <color rgb="FFFF0000"/>
        <rFont val="Aptos Narrow"/>
        <family val="2"/>
        <scheme val="minor"/>
      </rPr>
      <t>onderzoek</t>
    </r>
  </si>
  <si>
    <t>Lockheed L-18 Lodestar</t>
  </si>
  <si>
    <t xml:space="preserve">14 machines ontsnapt naar AUS (1 verloren in Broome) en 6 vanuit de RNMFS naar AUS. </t>
  </si>
  <si>
    <t>Lockheed Neptune SP-2H</t>
  </si>
  <si>
    <t>Eerste 12 onder MDAP geleverd  - later 15 zelf besteld - 4 machines bewaard in NL musea</t>
  </si>
  <si>
    <t>Lockheed Orion P-3C</t>
  </si>
  <si>
    <t>Lockheed T-33</t>
  </si>
  <si>
    <t>63 vliegende machines en 5 voor onderdelen - verschillende crashes en 3 bewaard in NL musea</t>
  </si>
  <si>
    <t>LVG B.II</t>
  </si>
  <si>
    <t>LVG B.I</t>
  </si>
  <si>
    <t>LVG C.VI</t>
  </si>
  <si>
    <t>VanMeel</t>
  </si>
  <si>
    <t>1e toestellen LVA</t>
  </si>
  <si>
    <t>Glenn Martin WH-1, WH-2 en WH-3 en 3a</t>
  </si>
  <si>
    <r>
      <t xml:space="preserve">Vier series van toestellen. Veel crashes en verdwenen toestellen. Meer </t>
    </r>
    <r>
      <rPr>
        <sz val="11"/>
        <color rgb="FFFF0000"/>
        <rFont val="Aptos Narrow"/>
        <family val="2"/>
        <scheme val="minor"/>
      </rPr>
      <t>onderzoek</t>
    </r>
  </si>
  <si>
    <t>Martin Mariner PBM-5</t>
  </si>
  <si>
    <r>
      <t xml:space="preserve">Voor gebruik in Nieuw Guinea - veel crashes en ongelukken, zeker 5 verloren. </t>
    </r>
    <r>
      <rPr>
        <sz val="11"/>
        <color rgb="FFFF0000"/>
        <rFont val="Aptos Narrow"/>
        <family val="2"/>
        <scheme val="minor"/>
      </rPr>
      <t>Onderzoek</t>
    </r>
  </si>
  <si>
    <t>Martin R</t>
  </si>
  <si>
    <t>Martin S</t>
  </si>
  <si>
    <t>Martin TA</t>
  </si>
  <si>
    <t>Martin TT</t>
  </si>
  <si>
    <t>McDonnell Douglas AH-64 Apache</t>
  </si>
  <si>
    <r>
      <t>1 crah Afghanistan en 1 crash Mali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</t>
    </r>
  </si>
  <si>
    <t>Messerschmitt Me-108 Taifun</t>
  </si>
  <si>
    <t>Door de Japanners buitgemaakt en in 1945 nog op Sumatra gezien</t>
  </si>
  <si>
    <t>McDonnell Douglas (K)DC-10</t>
  </si>
  <si>
    <t>2 tankers en 1 transportkist</t>
  </si>
  <si>
    <t>Miles Hawk</t>
  </si>
  <si>
    <t>gevorderde machine</t>
  </si>
  <si>
    <t>Mitsubishi Ki.21</t>
  </si>
  <si>
    <t>Ingezet voor RAPWI vluchten "Ahrens Airlines"</t>
  </si>
  <si>
    <t>Mitsubishi Ki.57</t>
  </si>
  <si>
    <t>Morane Saulnier AR</t>
  </si>
  <si>
    <t>Morane Saulnier L</t>
  </si>
  <si>
    <t>MBB Bolkow BO-105CB</t>
  </si>
  <si>
    <t>NHI NH90</t>
  </si>
  <si>
    <t>MLD - DHC</t>
  </si>
  <si>
    <r>
      <t>1 verloren Caribisch gebied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</t>
    </r>
  </si>
  <si>
    <t>Auster AOP</t>
  </si>
  <si>
    <t>LSK - Klu - MLD - MLKNIL</t>
  </si>
  <si>
    <t>Aeronca L-3</t>
  </si>
  <si>
    <t>Ops Antillen</t>
  </si>
  <si>
    <t>3 gevlogen door de Aeroclub Aruba tbv gouvernement</t>
  </si>
  <si>
    <t>Nieuport 11 / 17</t>
  </si>
  <si>
    <t>1 geinterneerd en 20 gebouwd door Spijker</t>
  </si>
  <si>
    <t>Nieuport 21</t>
  </si>
  <si>
    <t>Nieuport 23</t>
  </si>
  <si>
    <t>Noorduyn Norseman</t>
  </si>
  <si>
    <t>Van een dump op Biak, na 1949 naar AURI</t>
  </si>
  <si>
    <t>North American P-51 D/K</t>
  </si>
  <si>
    <t>1 USAAF P-51K in NMM is niet MLKNIL</t>
  </si>
  <si>
    <t>North American B-25 Mitchell</t>
  </si>
  <si>
    <t>North American F-86K Sabre</t>
  </si>
  <si>
    <t>Klu - MLD - MLKNIL</t>
  </si>
  <si>
    <r>
      <t xml:space="preserve">29 toestellen bij de RNMFS in de VS - 67 bij 320Sq RAF in WOII -  28 aangekocht voor de MLD na 1945 waarvan 16 vliegend - 145 toestellen bij de MLKNIL bij 18 Sq en het PEP. Veel bewaarde toestellen (Overloon - NMM - AUS) en bekende wrakken. </t>
    </r>
    <r>
      <rPr>
        <sz val="11"/>
        <color rgb="FFFF0000"/>
        <rFont val="Aptos Narrow"/>
        <family val="2"/>
        <scheme val="minor"/>
      </rPr>
      <t xml:space="preserve">Onderzoek naar mogelijke wrakken doen. </t>
    </r>
  </si>
  <si>
    <t>North American NA-16</t>
  </si>
  <si>
    <t>Aangekocht 1939 vernietigd Mei 1940</t>
  </si>
  <si>
    <t>Northrop NF-5</t>
  </si>
  <si>
    <t>75 singe seat en 30 trainers - zeker vijf in NL als museum/instructie</t>
  </si>
  <si>
    <t>Pander D</t>
  </si>
  <si>
    <t>Percival Proctor</t>
  </si>
  <si>
    <t>Pfalz D.IIIa</t>
  </si>
  <si>
    <t>Pilatus PC-7</t>
  </si>
  <si>
    <t>Ook door MLD vliegopleiding gebruikt</t>
  </si>
  <si>
    <t>Piper L-4/18/21 Super Cub</t>
  </si>
  <si>
    <t>Manusje van alles: waarneming basisvlucht opleiding licht-transport - veel door naar de civiele vliegerij - bij NMM en KLHV</t>
  </si>
  <si>
    <t>Porterfield 35-70</t>
  </si>
  <si>
    <t>Bij Aeroclub Aruba gebruikt voor patrouilles</t>
  </si>
  <si>
    <t>R.A.F Be.2</t>
  </si>
  <si>
    <t>R.A.F SE.5a</t>
  </si>
  <si>
    <t>Republic F-84 E/G Thunderjet</t>
  </si>
  <si>
    <r>
      <t xml:space="preserve">Onder MDAP geleverd - zeer veel ongevallen en crashes vrijwel allen boven land. Allen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</t>
    </r>
  </si>
  <si>
    <t>Republic F-84F Thunderstreak</t>
  </si>
  <si>
    <r>
      <t xml:space="preserve">Onder MDAP geleverd - 75 verloren in crashes -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</t>
    </r>
  </si>
  <si>
    <t>Republic RF-84F Thunderflash</t>
  </si>
  <si>
    <r>
      <t xml:space="preserve">Onder MDAP geleverde verkenner - zeven verloren in crahes -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</t>
    </r>
  </si>
  <si>
    <t>Robert-Esnault-Pelterie REP-2</t>
  </si>
  <si>
    <t>Rumpler C.1 / C.1a</t>
  </si>
  <si>
    <t>Rumpler 6.B2</t>
  </si>
  <si>
    <t>geinterneerd en in NOI gebruikt</t>
  </si>
  <si>
    <t>Rumpler C.8 / (C.VIII)</t>
  </si>
  <si>
    <r>
      <t xml:space="preserve">Aangekocht na WOI. Veel ongelukken. </t>
    </r>
    <r>
      <rPr>
        <sz val="11"/>
        <color rgb="FFFF0000"/>
        <rFont val="Aptos Narrow"/>
        <family val="2"/>
        <scheme val="minor"/>
      </rPr>
      <t>Onderzoek</t>
    </r>
  </si>
  <si>
    <t>Ryan STM</t>
  </si>
  <si>
    <r>
      <t xml:space="preserve">Trainer voor MLD en MLKNIL in NOI. Deels geevacueerd naar Australië waar nog NL Ryans vliegen, deels door Japan buitgemaakt.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>.</t>
    </r>
  </si>
  <si>
    <t>SAGEM Sperwer</t>
  </si>
  <si>
    <r>
      <t>Onbemande verkenner - oa ingezet in Afghanistan waar enkele zijn neergestort (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?)</t>
    </r>
  </si>
  <si>
    <t>Schweizer 330</t>
  </si>
  <si>
    <t>training in Aruba voor de Marine</t>
  </si>
  <si>
    <t>Short type 184</t>
  </si>
  <si>
    <t>Sikorsky S-51</t>
  </si>
  <si>
    <t>Oa ingezet bij Watersnoodramp</t>
  </si>
  <si>
    <t>Sikorsky S-55</t>
  </si>
  <si>
    <t>H2 Salome nu in Aviodrome</t>
  </si>
  <si>
    <t>Sikorsky S-58</t>
  </si>
  <si>
    <t>2 in zee Gibralter 1 in zee Schotland 1 in NMM (de 134)</t>
  </si>
  <si>
    <t>Sopwith Pup</t>
  </si>
  <si>
    <t>Sopwith Strutter 1 1/2</t>
  </si>
  <si>
    <t>Spad S.7</t>
  </si>
  <si>
    <t>Spijker V.1</t>
  </si>
  <si>
    <t>Aankoop</t>
  </si>
  <si>
    <t>Spijker V.2</t>
  </si>
  <si>
    <t>aankoop - veel ongelukken</t>
  </si>
  <si>
    <t>Sud Aviation Alouette 2</t>
  </si>
  <si>
    <t>oa ingezet in NNG als SAR kist</t>
  </si>
  <si>
    <t>Sud Aviation Alouette 3</t>
  </si>
  <si>
    <t>erg betrouwbaare lichte heli, oa ingezet voor vervoer kon huis en SAR werk. Veel doorverkocht na uitfaseren - twee collectie NMM</t>
  </si>
  <si>
    <t>Supermarine Spitfire</t>
  </si>
  <si>
    <t>LSK - Klu</t>
  </si>
  <si>
    <r>
      <t xml:space="preserve">Oa bij 322 Sq RAF in WOII ingezet, na de oorlog bij de LSK/Klu. Ook ingezet in NOI tijdens politionele acties. Zie boek Harry vd Meer voor meer info. </t>
    </r>
    <r>
      <rPr>
        <sz val="11"/>
        <color rgb="FFFF0000"/>
        <rFont val="Aptos Narrow"/>
        <family val="2"/>
        <scheme val="minor"/>
      </rPr>
      <t>Onderzoek</t>
    </r>
    <r>
      <rPr>
        <sz val="11"/>
        <color theme="1"/>
        <rFont val="Aptos Narrow"/>
        <family val="2"/>
        <scheme val="minor"/>
      </rPr>
      <t xml:space="preserve"> naar crashes.  Tijdens WOII ook door NL aangekochte Spits ingezet bij niet NL squadrons.</t>
    </r>
  </si>
  <si>
    <t>Tachikawa Ki-54 "Hickory</t>
  </si>
  <si>
    <r>
      <t xml:space="preserve">Oorlogsbuit. Met oa Japanse vliegers ingezet voor RAPWI en bij 18 Sq voor transport. </t>
    </r>
    <r>
      <rPr>
        <sz val="11"/>
        <color rgb="FFFF0000"/>
        <rFont val="Aptos Narrow"/>
        <family val="2"/>
        <scheme val="minor"/>
      </rPr>
      <t>Ongelukken</t>
    </r>
    <r>
      <rPr>
        <sz val="11"/>
        <color theme="1"/>
        <rFont val="Aptos Narrow"/>
        <family val="2"/>
        <scheme val="minor"/>
      </rPr>
      <t xml:space="preserve">. </t>
    </r>
  </si>
  <si>
    <t>Taylorcraft L2</t>
  </si>
  <si>
    <t>Voor training en liason in AUS en later IND. Een over naar de AURI</t>
  </si>
  <si>
    <t>Thulin K</t>
  </si>
  <si>
    <t>12 eenzitters en 3 tweezitters</t>
  </si>
  <si>
    <t>Thulin LA</t>
  </si>
  <si>
    <t>Vickers Viking</t>
  </si>
  <si>
    <t>Vickers Sea Otter</t>
  </si>
  <si>
    <t xml:space="preserve">Vliegboot van de MLKNIL </t>
  </si>
  <si>
    <t>Voisin LB.IV</t>
  </si>
  <si>
    <t>Vought OS2U Kingfisher</t>
  </si>
  <si>
    <t xml:space="preserve">Besteld en onderweg naar NOI maar door capitulatie nooit afgeleverd. Door USN overgenomen. Geen Nederlands gebruik dus. </t>
  </si>
  <si>
    <t>Vultee BT.13 Valiant</t>
  </si>
  <si>
    <r>
      <t xml:space="preserve">Ingezet op de RNMFS in Jackson USA voor de vliegopleiding. Toestellen door de VS ter beschikking gesteld en retour USAF na gebruik. Zeker vijf verloren bij ongelukken. </t>
    </r>
    <r>
      <rPr>
        <sz val="11"/>
        <color rgb="FFFF0000"/>
        <rFont val="Aptos Narrow"/>
        <family val="2"/>
        <scheme val="minor"/>
      </rPr>
      <t>Wrakken</t>
    </r>
    <r>
      <rPr>
        <sz val="11"/>
        <color theme="1"/>
        <rFont val="Aptos Narrow"/>
        <family val="2"/>
        <scheme val="minor"/>
      </rPr>
      <t>?</t>
    </r>
  </si>
  <si>
    <t>WACO EGC-7</t>
  </si>
  <si>
    <t>Gevorderd en vernietigd bij Japanse aanval Andir</t>
  </si>
  <si>
    <t>WACO UKC</t>
  </si>
  <si>
    <t>Westland Lynx SH-14</t>
  </si>
  <si>
    <r>
      <t xml:space="preserve">Boordheli MLD - meerdere exemplaren in NL musea en collecties. Twee in zee gestort,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 xml:space="preserve">? </t>
    </r>
  </si>
  <si>
    <t>Westland Wasp AH-12</t>
  </si>
  <si>
    <r>
      <t xml:space="preserve">Eerste boordheli MLD - drie in zee gestort, </t>
    </r>
    <r>
      <rPr>
        <sz val="11"/>
        <color rgb="FFFF0000"/>
        <rFont val="Aptos Narrow"/>
        <family val="2"/>
        <scheme val="minor"/>
      </rPr>
      <t>geborgen</t>
    </r>
    <r>
      <rPr>
        <sz val="11"/>
        <color theme="1"/>
        <rFont val="Aptos Narrow"/>
        <family val="2"/>
        <scheme val="minor"/>
      </rPr>
      <t>? Geen toestel in NL, meerdere exemplaren naar IND verkocht</t>
    </r>
  </si>
  <si>
    <t>White and Thompson Type.3</t>
  </si>
  <si>
    <t>Yokosuka K5Y Willow</t>
  </si>
  <si>
    <t xml:space="preserve">Japanse toestellen buitgemaakt en gevlogen voor "Ahrens Airlines" voor RAPWI vluchten. Zeker twee naar de AURI in 1949. </t>
  </si>
  <si>
    <t>Dornier 228</t>
  </si>
  <si>
    <t>Kustwacht</t>
  </si>
  <si>
    <t>gehuurde toestellen</t>
  </si>
  <si>
    <t>De Havilland DASH8</t>
  </si>
  <si>
    <t>Vanaf 2007 twee toestellen in het Caribisch gebied, vanaf 2022 ook in Nederland</t>
  </si>
  <si>
    <t>Agusta Westland AW-189</t>
  </si>
  <si>
    <t>Gehuurde SAR kisten</t>
  </si>
  <si>
    <t>MQ-9 Reaper</t>
  </si>
  <si>
    <t xml:space="preserve">Onbemande verkenner (uit te rusten met missiles vanaf 2024) </t>
  </si>
  <si>
    <t>Eurocopter AS365N3 Dauphin</t>
  </si>
  <si>
    <t>gehuurde SAR toestellen</t>
  </si>
  <si>
    <t>de C-10 naar NMM - ook de PH-PBF meegenomen, tweede regeringsvliegtuig</t>
  </si>
  <si>
    <t>Fokker F-28</t>
  </si>
  <si>
    <t>Regeringstoestel</t>
  </si>
  <si>
    <t>regeringsvliegtuig</t>
  </si>
  <si>
    <t>Fokker 70</t>
  </si>
  <si>
    <t>regeringstoestel</t>
  </si>
  <si>
    <t>Boeing 737</t>
  </si>
  <si>
    <t>regeringstoestel - aanvankelijk gehuurd, later de PH-GOV aangekocht</t>
  </si>
  <si>
    <t>Cessna 172</t>
  </si>
  <si>
    <t>Dienst Luchtvaart Politie</t>
  </si>
  <si>
    <t>Cessna 337 Super Skymaster</t>
  </si>
  <si>
    <t>Pilatus Britten-Norman BN.2T Turbine Islander</t>
  </si>
  <si>
    <t>Cessna 182 Skylane II</t>
  </si>
  <si>
    <t>Sud Aviation SA341G Gazelle</t>
  </si>
  <si>
    <t>gehuurd toestel</t>
  </si>
  <si>
    <t>Bell 206 JetRanger</t>
  </si>
  <si>
    <t>Eurocopter AS350 B2 Ecureuil’</t>
  </si>
  <si>
    <t>Gehuurde toestellen</t>
  </si>
  <si>
    <t>McDonnell Douglas MD902 Explorer</t>
  </si>
  <si>
    <t>Eurocopter EC-135</t>
  </si>
  <si>
    <t>Agusta Westland AW-139</t>
  </si>
  <si>
    <t>Kleine drones: vrijwel alle overheidsdiensten maken momenteel gebruik van kleine drones. Hoe gaan we dit gebruik als nieuw luchtvaarterfgoed vastleggen?</t>
  </si>
  <si>
    <t xml:space="preserve">Totaal in gebruik geweest bij NL militaire en overheids luchtvaart 1913 - heden </t>
  </si>
  <si>
    <t>Saab 91 Safir</t>
  </si>
  <si>
    <t>Rijksluchtvaartschool</t>
  </si>
  <si>
    <t>LSK/Klu - MLD - RLS</t>
  </si>
  <si>
    <t>Klu - MLD - MLKNIL - Rijksluchtvaartschool</t>
  </si>
  <si>
    <t>Naast de Klu ook zeven stuks in gebruik bij de politie en vier door ANWB trauma heli tot 2005</t>
  </si>
  <si>
    <t>Klu - Dienst Luchtvaart Politie - MMT</t>
  </si>
  <si>
    <t>Dienst Luchtvaart Politie - MMT</t>
  </si>
  <si>
    <t>Gehuurde toestellen politie en 2 MMT trauma</t>
  </si>
  <si>
    <t>Zes Politie en zes MMT trauma</t>
  </si>
  <si>
    <t>Airbus Helicopters H145</t>
  </si>
  <si>
    <t xml:space="preserve">MMT </t>
  </si>
  <si>
    <t>MMT trauma</t>
  </si>
  <si>
    <t>Douglas DC-5</t>
  </si>
  <si>
    <t>KNILM</t>
  </si>
  <si>
    <r>
      <t xml:space="preserve">Door KLM aan NOI gouvernement verkocht en gebruikt door KNILM oa voor evacuaties - 1 in Japanse handen - </t>
    </r>
    <r>
      <rPr>
        <sz val="11"/>
        <color rgb="FFFF0000"/>
        <rFont val="Aptos Narrow"/>
        <family val="2"/>
        <scheme val="minor"/>
      </rPr>
      <t>onderzoek</t>
    </r>
  </si>
  <si>
    <t>Anders (zie bijz)</t>
  </si>
  <si>
    <t>225 collectie NMM - 220 poortwachter de Kooy - 227 Aviodrome</t>
  </si>
  <si>
    <r>
      <t xml:space="preserve">Ingezet in de UK voor verbindingen en in NOI voor verkenning. Ook vier uitgeleend door de Klu aan de MLD. Veel </t>
    </r>
    <r>
      <rPr>
        <sz val="11"/>
        <color rgb="FFFF0000"/>
        <rFont val="Aptos Narrow"/>
        <family val="2"/>
        <scheme val="minor"/>
      </rPr>
      <t>ongelukken</t>
    </r>
    <r>
      <rPr>
        <sz val="11"/>
        <color theme="1"/>
        <rFont val="Aptos Narrow"/>
        <family val="2"/>
        <scheme val="minor"/>
      </rPr>
      <t>, tenminste 1 in NMM</t>
    </r>
  </si>
  <si>
    <t>RNMFS</t>
  </si>
  <si>
    <t>MLKNIL - RNMFS</t>
  </si>
  <si>
    <t>Klu - MLD - RLS</t>
  </si>
  <si>
    <t>NGAT</t>
  </si>
  <si>
    <t>Deels uit dienst vanwege bezuinigingen - geen verloren - S454 in NMM</t>
  </si>
  <si>
    <t>Klu - Regering</t>
  </si>
  <si>
    <t> Junkers JU.52/3m</t>
  </si>
  <si>
    <t>RLS</t>
  </si>
  <si>
    <t>Uit RAF voorraad in Duitsland</t>
  </si>
  <si>
    <t>HFB.320 “Hansa”Jet”</t>
  </si>
  <si>
    <t>Cessna 500 “Citation”</t>
  </si>
  <si>
    <t>Slingsby T67C-3</t>
  </si>
  <si>
    <t>North American/Noordduyn Harvard/Texan</t>
  </si>
  <si>
    <t>RAF - LSK - Klu - MLD - MLKNIL - NGAT - Regering - RLS</t>
  </si>
  <si>
    <r>
      <t xml:space="preserve">30 LSK/Klu - 16 MLD - 56 MLKNIL - tenminste 5 crashes en 2 bekende wrakken (X-11 en X-13)  - Ook de DC-3 PH-PBA meegenomen, het eerste regeringsvliegtuig, drie KNILM gemilitariseerde kisten en 10 Dc-3/C-47 toestellen van het NGAT en 1 kist RLS  </t>
    </r>
    <r>
      <rPr>
        <sz val="11"/>
        <color rgb="FFFF0000"/>
        <rFont val="Aptos Narrow"/>
        <family val="2"/>
        <scheme val="minor"/>
      </rPr>
      <t>Onderzoek</t>
    </r>
  </si>
  <si>
    <t>Morane-Saulnier MS.760B</t>
  </si>
  <si>
    <t>Cessna/Reims 150L</t>
  </si>
  <si>
    <t>5 gecrasht</t>
  </si>
  <si>
    <t>Beechcraft F33A/C “Bonanza”</t>
  </si>
  <si>
    <t>Reims/Cessna F152-II</t>
  </si>
  <si>
    <t>Tot 1991 overheid, daarna KLM - 2 gecrasht</t>
  </si>
  <si>
    <r>
      <t xml:space="preserve">Vanaf 1942 op de RNMFS in de VS  - naoorlogs bij de Klu die een tiental toestellen uitleende aan de MLD - MLKNIL vanaf 1947 - 1949 28 toestellen eegekocht voor vliegopleiding en daarna naar de AURI. Met ook 22 Harvard en Texan van de RLS (daarvan 6 gecrasht)  </t>
    </r>
    <r>
      <rPr>
        <sz val="11"/>
        <color rgb="FFFF0000"/>
        <rFont val="Aptos Narrow"/>
        <family val="2"/>
        <scheme val="minor"/>
      </rPr>
      <t>Onderzoek</t>
    </r>
  </si>
  <si>
    <t>3 LSK/RAF - 6 MLD 1 na ongeval gesloopt - 28 Klu allen terug naar USAF - plus 15 van de Rijksluchtvaartschool (met 4 crashes)</t>
  </si>
  <si>
    <t>9 later door de MLD overgenomen - 1 RLS kist verbrand 1968</t>
  </si>
  <si>
    <t>in twee types gebruikt - 2 crashes</t>
  </si>
  <si>
    <t>Acht crashes (7A en 1C)</t>
  </si>
  <si>
    <t>Vanaf 1991 commercieel KLM - 1 crash</t>
  </si>
  <si>
    <t>3 MLD verkocht - onderzoek,  56 Klu met 1 NMM en 1 Aviodrome - ook 30 Tiger Moths bij de RLS met 10 crashes en 1 verbrand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</si>
</sst>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1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5E37-AF68-4A84-8848-D52A4B15E570}">
  <dimension ref="A1:K244"/>
  <sheetViews>
    <sheetView tabSelected="1" topLeftCell="A27" workbookViewId="0">
      <selection activeCell="J236" sqref="J236"/>
    </sheetView>
  </sheetViews>
  <sheetFormatPr defaultRowHeight="14.5" x14ac:dyDescent="0.35"/>
  <cols>
    <col min="1" max="1" width="32.81640625" customWidth="1"/>
    <col min="2" max="2" width="19" style="16" customWidth="1"/>
    <col min="3" max="3" width="16.81640625" customWidth="1"/>
    <col min="4" max="4" width="13.453125" customWidth="1"/>
    <col min="5" max="5" width="14.54296875" customWidth="1"/>
    <col min="6" max="6" width="14.453125" customWidth="1"/>
    <col min="7" max="8" width="14.54296875" customWidth="1"/>
    <col min="9" max="9" width="15.36328125" style="2" customWidth="1"/>
    <col min="10" max="10" width="60.08984375" style="3" customWidth="1"/>
    <col min="11" max="11" width="39.26953125" style="16" customWidth="1"/>
  </cols>
  <sheetData>
    <row r="1" spans="1:11" s="1" customFormat="1" x14ac:dyDescent="0.35">
      <c r="A1" s="4" t="s">
        <v>0</v>
      </c>
      <c r="B1" s="14" t="s">
        <v>1</v>
      </c>
      <c r="C1" s="4" t="s">
        <v>2</v>
      </c>
      <c r="D1" s="4" t="s">
        <v>3</v>
      </c>
      <c r="E1" s="4" t="s">
        <v>204</v>
      </c>
      <c r="F1" s="4" t="s">
        <v>205</v>
      </c>
      <c r="G1" s="4" t="s">
        <v>206</v>
      </c>
      <c r="H1" s="19" t="s">
        <v>426</v>
      </c>
      <c r="I1" s="12" t="s">
        <v>4</v>
      </c>
      <c r="J1" s="5" t="s">
        <v>5</v>
      </c>
      <c r="K1" s="14" t="s">
        <v>79</v>
      </c>
    </row>
    <row r="2" spans="1:11" x14ac:dyDescent="0.35">
      <c r="A2" s="6"/>
      <c r="B2" s="15"/>
      <c r="C2" s="6"/>
      <c r="D2" s="6"/>
      <c r="E2" s="6"/>
      <c r="F2" s="6"/>
      <c r="G2" s="6"/>
      <c r="H2" s="20"/>
      <c r="I2" s="13"/>
      <c r="J2" s="8"/>
      <c r="K2" s="15"/>
    </row>
    <row r="3" spans="1:11" x14ac:dyDescent="0.35">
      <c r="A3" s="9" t="s">
        <v>81</v>
      </c>
      <c r="B3" s="15" t="s">
        <v>6</v>
      </c>
      <c r="C3" s="6">
        <v>1917</v>
      </c>
      <c r="D3" s="6">
        <v>1918</v>
      </c>
      <c r="E3" s="6">
        <v>1</v>
      </c>
      <c r="F3" s="6"/>
      <c r="G3" s="6"/>
      <c r="H3" s="20"/>
      <c r="I3" s="13">
        <f>SUM(E3:H3)</f>
        <v>1</v>
      </c>
      <c r="J3" s="8" t="s">
        <v>7</v>
      </c>
      <c r="K3" s="15"/>
    </row>
    <row r="4" spans="1:11" ht="29" x14ac:dyDescent="0.35">
      <c r="A4" s="9" t="s">
        <v>80</v>
      </c>
      <c r="B4" s="15" t="s">
        <v>8</v>
      </c>
      <c r="C4" s="6">
        <v>1962</v>
      </c>
      <c r="D4" s="6">
        <v>1976</v>
      </c>
      <c r="E4" s="6"/>
      <c r="F4" s="6">
        <v>9</v>
      </c>
      <c r="G4" s="6"/>
      <c r="H4" s="20"/>
      <c r="I4" s="13">
        <f>SUM(E4:H4)</f>
        <v>9</v>
      </c>
      <c r="J4" s="8" t="s">
        <v>46</v>
      </c>
      <c r="K4" s="15" t="s">
        <v>427</v>
      </c>
    </row>
    <row r="5" spans="1:11" x14ac:dyDescent="0.35">
      <c r="A5" s="9" t="s">
        <v>10</v>
      </c>
      <c r="B5" s="15" t="s">
        <v>9</v>
      </c>
      <c r="C5" s="6">
        <v>1994</v>
      </c>
      <c r="D5" s="6">
        <v>2011</v>
      </c>
      <c r="E5" s="6">
        <v>3</v>
      </c>
      <c r="F5" s="6"/>
      <c r="G5" s="6"/>
      <c r="H5" s="20"/>
      <c r="I5" s="13">
        <f>SUM(E5:H5)</f>
        <v>3</v>
      </c>
      <c r="J5" s="8" t="s">
        <v>11</v>
      </c>
      <c r="K5" s="15"/>
    </row>
    <row r="6" spans="1:11" x14ac:dyDescent="0.35">
      <c r="A6" s="9" t="s">
        <v>12</v>
      </c>
      <c r="B6" s="15" t="s">
        <v>6</v>
      </c>
      <c r="C6" s="6">
        <v>1918</v>
      </c>
      <c r="D6" s="6">
        <v>1930</v>
      </c>
      <c r="E6" s="6">
        <v>1</v>
      </c>
      <c r="F6" s="6"/>
      <c r="G6" s="6"/>
      <c r="H6" s="20"/>
      <c r="I6" s="13">
        <f>SUM(E6:H6)</f>
        <v>1</v>
      </c>
      <c r="J6" s="8" t="s">
        <v>13</v>
      </c>
      <c r="K6" s="15"/>
    </row>
    <row r="7" spans="1:11" x14ac:dyDescent="0.35">
      <c r="A7" s="9" t="s">
        <v>28</v>
      </c>
      <c r="B7" s="15" t="s">
        <v>14</v>
      </c>
      <c r="C7" s="6">
        <v>1917</v>
      </c>
      <c r="D7" s="6">
        <v>1920</v>
      </c>
      <c r="E7" s="6">
        <v>16</v>
      </c>
      <c r="F7" s="6"/>
      <c r="G7" s="6">
        <v>36</v>
      </c>
      <c r="H7" s="20"/>
      <c r="I7" s="13">
        <f>SUM(E7:H7)</f>
        <v>52</v>
      </c>
      <c r="J7" s="8" t="s">
        <v>15</v>
      </c>
      <c r="K7" s="15"/>
    </row>
    <row r="8" spans="1:11" x14ac:dyDescent="0.35">
      <c r="A8" s="9" t="s">
        <v>420</v>
      </c>
      <c r="B8" s="15" t="s">
        <v>421</v>
      </c>
      <c r="C8" s="6">
        <v>2016</v>
      </c>
      <c r="D8" s="10" t="s">
        <v>26</v>
      </c>
      <c r="E8" s="6"/>
      <c r="F8" s="6"/>
      <c r="G8" s="6"/>
      <c r="H8" s="20">
        <v>8</v>
      </c>
      <c r="I8" s="13">
        <f>SUM(E8:H8)</f>
        <v>8</v>
      </c>
      <c r="J8" s="8" t="s">
        <v>422</v>
      </c>
      <c r="K8" s="15"/>
    </row>
    <row r="9" spans="1:11" x14ac:dyDescent="0.35">
      <c r="A9" s="9" t="s">
        <v>29</v>
      </c>
      <c r="B9" s="15" t="s">
        <v>16</v>
      </c>
      <c r="C9" s="6">
        <v>1943</v>
      </c>
      <c r="D9" s="6">
        <v>1953</v>
      </c>
      <c r="E9" s="6">
        <v>39</v>
      </c>
      <c r="F9" s="6"/>
      <c r="G9" s="6"/>
      <c r="H9" s="20"/>
      <c r="I9" s="13">
        <f>SUM(E9:H9)</f>
        <v>39</v>
      </c>
      <c r="J9" s="8" t="s">
        <v>18</v>
      </c>
      <c r="K9" s="15"/>
    </row>
    <row r="10" spans="1:11" x14ac:dyDescent="0.35">
      <c r="A10" s="9" t="s">
        <v>283</v>
      </c>
      <c r="B10" s="15" t="s">
        <v>284</v>
      </c>
      <c r="C10" s="6">
        <v>1943</v>
      </c>
      <c r="D10" s="6">
        <v>1949</v>
      </c>
      <c r="E10" s="6"/>
      <c r="F10" s="6"/>
      <c r="G10" s="6"/>
      <c r="H10" s="20">
        <v>3</v>
      </c>
      <c r="I10" s="13">
        <f>SUM(E10:H10)</f>
        <v>3</v>
      </c>
      <c r="J10" s="8" t="s">
        <v>285</v>
      </c>
      <c r="K10" s="15"/>
    </row>
    <row r="11" spans="1:11" x14ac:dyDescent="0.35">
      <c r="A11" s="9" t="s">
        <v>30</v>
      </c>
      <c r="B11" s="15" t="s">
        <v>6</v>
      </c>
      <c r="C11" s="6">
        <v>1915</v>
      </c>
      <c r="D11" s="6">
        <v>1919</v>
      </c>
      <c r="E11" s="6">
        <v>1</v>
      </c>
      <c r="F11" s="6"/>
      <c r="G11" s="6"/>
      <c r="H11" s="20"/>
      <c r="I11" s="13">
        <f>SUM(E11:H11)</f>
        <v>1</v>
      </c>
      <c r="J11" s="8" t="s">
        <v>13</v>
      </c>
      <c r="K11" s="15"/>
    </row>
    <row r="12" spans="1:11" x14ac:dyDescent="0.35">
      <c r="A12" s="9" t="s">
        <v>31</v>
      </c>
      <c r="B12" s="15" t="s">
        <v>6</v>
      </c>
      <c r="C12" s="6">
        <v>1916</v>
      </c>
      <c r="D12" s="6">
        <v>1917</v>
      </c>
      <c r="E12" s="6">
        <v>2</v>
      </c>
      <c r="F12" s="6"/>
      <c r="G12" s="6"/>
      <c r="H12" s="20"/>
      <c r="I12" s="13">
        <f>SUM(E12:H12)</f>
        <v>2</v>
      </c>
      <c r="J12" s="8" t="s">
        <v>19</v>
      </c>
      <c r="K12" s="15"/>
    </row>
    <row r="13" spans="1:11" x14ac:dyDescent="0.35">
      <c r="A13" s="9" t="s">
        <v>32</v>
      </c>
      <c r="B13" s="15" t="s">
        <v>6</v>
      </c>
      <c r="C13" s="6">
        <v>1917</v>
      </c>
      <c r="D13" s="6">
        <v>1920</v>
      </c>
      <c r="E13" s="6">
        <v>1</v>
      </c>
      <c r="F13" s="6"/>
      <c r="G13" s="6"/>
      <c r="H13" s="20"/>
      <c r="I13" s="13">
        <f>SUM(E13:H13)</f>
        <v>1</v>
      </c>
      <c r="J13" s="8" t="s">
        <v>13</v>
      </c>
      <c r="K13" s="15"/>
    </row>
    <row r="14" spans="1:11" x14ac:dyDescent="0.35">
      <c r="A14" s="9" t="s">
        <v>34</v>
      </c>
      <c r="B14" s="15" t="s">
        <v>6</v>
      </c>
      <c r="C14" s="6">
        <v>1917</v>
      </c>
      <c r="D14" s="6">
        <v>1920</v>
      </c>
      <c r="E14" s="6">
        <v>2</v>
      </c>
      <c r="F14" s="6"/>
      <c r="G14" s="6"/>
      <c r="H14" s="20"/>
      <c r="I14" s="13">
        <f>SUM(E14:H14)</f>
        <v>2</v>
      </c>
      <c r="J14" s="8" t="s">
        <v>13</v>
      </c>
      <c r="K14" s="15"/>
    </row>
    <row r="15" spans="1:11" x14ac:dyDescent="0.35">
      <c r="A15" s="9" t="s">
        <v>33</v>
      </c>
      <c r="B15" s="15" t="s">
        <v>6</v>
      </c>
      <c r="C15" s="6">
        <v>1917</v>
      </c>
      <c r="D15" s="6">
        <v>1920</v>
      </c>
      <c r="E15" s="6">
        <v>1</v>
      </c>
      <c r="F15" s="6"/>
      <c r="G15" s="6"/>
      <c r="H15" s="20"/>
      <c r="I15" s="13">
        <f>SUM(E15:H15)</f>
        <v>1</v>
      </c>
      <c r="J15" s="8" t="s">
        <v>13</v>
      </c>
      <c r="K15" s="15"/>
    </row>
    <row r="16" spans="1:11" x14ac:dyDescent="0.35">
      <c r="A16" s="9" t="s">
        <v>35</v>
      </c>
      <c r="B16" s="15" t="s">
        <v>6</v>
      </c>
      <c r="C16" s="6">
        <v>1917</v>
      </c>
      <c r="D16" s="6">
        <v>1925</v>
      </c>
      <c r="E16" s="6">
        <v>1</v>
      </c>
      <c r="F16" s="6"/>
      <c r="G16" s="6"/>
      <c r="H16" s="20"/>
      <c r="I16" s="13">
        <f>SUM(E16:H16)</f>
        <v>1</v>
      </c>
      <c r="J16" s="8" t="s">
        <v>13</v>
      </c>
      <c r="K16" s="15"/>
    </row>
    <row r="17" spans="1:11" x14ac:dyDescent="0.35">
      <c r="A17" s="9" t="s">
        <v>36</v>
      </c>
      <c r="B17" s="15" t="s">
        <v>6</v>
      </c>
      <c r="C17" s="6">
        <v>1917</v>
      </c>
      <c r="D17" s="6">
        <v>1920</v>
      </c>
      <c r="E17" s="6">
        <v>1</v>
      </c>
      <c r="F17" s="6"/>
      <c r="G17" s="6"/>
      <c r="H17" s="20"/>
      <c r="I17" s="13">
        <f>SUM(E17:H17)</f>
        <v>1</v>
      </c>
      <c r="J17" s="8" t="s">
        <v>13</v>
      </c>
      <c r="K17" s="15"/>
    </row>
    <row r="18" spans="1:11" x14ac:dyDescent="0.35">
      <c r="A18" s="9" t="s">
        <v>37</v>
      </c>
      <c r="B18" s="15" t="s">
        <v>6</v>
      </c>
      <c r="C18" s="6">
        <v>1919</v>
      </c>
      <c r="D18" s="6">
        <v>1925</v>
      </c>
      <c r="E18" s="6">
        <v>2</v>
      </c>
      <c r="F18" s="6"/>
      <c r="G18" s="6"/>
      <c r="H18" s="20"/>
      <c r="I18" s="13">
        <f>SUM(E18:H18)</f>
        <v>2</v>
      </c>
      <c r="J18" s="8" t="s">
        <v>13</v>
      </c>
      <c r="K18" s="15"/>
    </row>
    <row r="19" spans="1:11" x14ac:dyDescent="0.35">
      <c r="A19" s="9" t="s">
        <v>38</v>
      </c>
      <c r="B19" s="15" t="s">
        <v>6</v>
      </c>
      <c r="C19" s="6">
        <v>1817</v>
      </c>
      <c r="D19" s="6">
        <v>1918</v>
      </c>
      <c r="E19" s="6">
        <v>1</v>
      </c>
      <c r="F19" s="6"/>
      <c r="G19" s="6"/>
      <c r="H19" s="20"/>
      <c r="I19" s="13">
        <f>SUM(E19:H19)</f>
        <v>1</v>
      </c>
      <c r="J19" s="8" t="s">
        <v>13</v>
      </c>
      <c r="K19" s="15"/>
    </row>
    <row r="20" spans="1:11" x14ac:dyDescent="0.35">
      <c r="A20" s="9" t="s">
        <v>39</v>
      </c>
      <c r="B20" s="15" t="s">
        <v>14</v>
      </c>
      <c r="C20" s="6">
        <v>1915</v>
      </c>
      <c r="D20" s="6">
        <v>1938</v>
      </c>
      <c r="E20" s="6">
        <v>2</v>
      </c>
      <c r="F20" s="6"/>
      <c r="G20" s="6">
        <v>52</v>
      </c>
      <c r="H20" s="20"/>
      <c r="I20" s="13">
        <f>SUM(E20:H20)</f>
        <v>54</v>
      </c>
      <c r="J20" s="8" t="s">
        <v>20</v>
      </c>
      <c r="K20" s="15"/>
    </row>
    <row r="21" spans="1:11" x14ac:dyDescent="0.35">
      <c r="A21" s="9" t="s">
        <v>40</v>
      </c>
      <c r="B21" s="15" t="s">
        <v>21</v>
      </c>
      <c r="C21" s="6">
        <v>1940</v>
      </c>
      <c r="D21" s="6">
        <v>1953</v>
      </c>
      <c r="E21" s="6">
        <v>17</v>
      </c>
      <c r="F21" s="6">
        <v>25</v>
      </c>
      <c r="G21" s="6"/>
      <c r="H21" s="20"/>
      <c r="I21" s="13">
        <f>SUM(E21:H21)</f>
        <v>42</v>
      </c>
      <c r="J21" s="8" t="s">
        <v>22</v>
      </c>
      <c r="K21" s="15"/>
    </row>
    <row r="22" spans="1:11" ht="29" x14ac:dyDescent="0.35">
      <c r="A22" s="9" t="s">
        <v>408</v>
      </c>
      <c r="B22" s="15" t="s">
        <v>397</v>
      </c>
      <c r="C22" s="6">
        <v>2009</v>
      </c>
      <c r="D22" s="10" t="s">
        <v>26</v>
      </c>
      <c r="E22" s="6">
        <v>3</v>
      </c>
      <c r="F22" s="6"/>
      <c r="G22" s="6"/>
      <c r="H22" s="20"/>
      <c r="I22" s="13">
        <f>SUM(E22:H22)</f>
        <v>3</v>
      </c>
      <c r="J22" s="8"/>
      <c r="K22" s="15"/>
    </row>
    <row r="23" spans="1:11" x14ac:dyDescent="0.35">
      <c r="A23" s="9" t="s">
        <v>382</v>
      </c>
      <c r="B23" s="15" t="s">
        <v>378</v>
      </c>
      <c r="C23" s="6">
        <v>2022</v>
      </c>
      <c r="D23" s="10" t="s">
        <v>26</v>
      </c>
      <c r="E23" s="6"/>
      <c r="F23" s="6"/>
      <c r="G23" s="6"/>
      <c r="H23" s="20">
        <v>4</v>
      </c>
      <c r="I23" s="13">
        <f>SUM(E23:H23)</f>
        <v>4</v>
      </c>
      <c r="J23" s="8" t="s">
        <v>383</v>
      </c>
      <c r="K23" s="15"/>
    </row>
    <row r="24" spans="1:11" ht="29" x14ac:dyDescent="0.35">
      <c r="A24" s="9" t="s">
        <v>281</v>
      </c>
      <c r="B24" s="15" t="s">
        <v>282</v>
      </c>
      <c r="C24" s="6">
        <v>1944</v>
      </c>
      <c r="D24" s="6">
        <v>1956</v>
      </c>
      <c r="E24" s="6">
        <v>20</v>
      </c>
      <c r="F24" s="6"/>
      <c r="G24" s="6">
        <v>36</v>
      </c>
      <c r="H24" s="20"/>
      <c r="I24" s="13">
        <f>SUM(E24:H24)</f>
        <v>56</v>
      </c>
      <c r="J24" s="8" t="s">
        <v>428</v>
      </c>
      <c r="K24" s="15"/>
    </row>
    <row r="25" spans="1:11" x14ac:dyDescent="0.35">
      <c r="A25" s="9" t="s">
        <v>41</v>
      </c>
      <c r="B25" s="15" t="s">
        <v>429</v>
      </c>
      <c r="C25" s="6">
        <v>1942</v>
      </c>
      <c r="D25" s="6">
        <v>1944</v>
      </c>
      <c r="E25" s="6"/>
      <c r="F25" s="6"/>
      <c r="G25" s="6"/>
      <c r="H25" s="20">
        <v>34</v>
      </c>
      <c r="I25" s="13">
        <f>SUM(E25:H25)</f>
        <v>34</v>
      </c>
      <c r="J25" s="8" t="s">
        <v>25</v>
      </c>
      <c r="K25" s="15"/>
    </row>
    <row r="26" spans="1:11" x14ac:dyDescent="0.35">
      <c r="A26" s="9" t="s">
        <v>447</v>
      </c>
      <c r="B26" s="15" t="s">
        <v>436</v>
      </c>
      <c r="C26" s="6">
        <v>1978</v>
      </c>
      <c r="D26" s="6">
        <v>1991</v>
      </c>
      <c r="E26" s="6"/>
      <c r="F26" s="6"/>
      <c r="G26" s="6"/>
      <c r="H26" s="20">
        <v>19</v>
      </c>
      <c r="I26" s="13">
        <f>SUM(E26:H26)</f>
        <v>19</v>
      </c>
      <c r="J26" s="8" t="s">
        <v>454</v>
      </c>
      <c r="K26" s="15"/>
    </row>
    <row r="27" spans="1:11" x14ac:dyDescent="0.35">
      <c r="A27" s="9" t="s">
        <v>42</v>
      </c>
      <c r="B27" s="15" t="s">
        <v>23</v>
      </c>
      <c r="C27" s="6">
        <v>1941</v>
      </c>
      <c r="D27" s="6">
        <v>1945</v>
      </c>
      <c r="E27" s="6">
        <v>1</v>
      </c>
      <c r="F27" s="6"/>
      <c r="G27" s="6"/>
      <c r="H27" s="20"/>
      <c r="I27" s="13">
        <f>SUM(E27:H27)</f>
        <v>1</v>
      </c>
      <c r="J27" s="8" t="s">
        <v>27</v>
      </c>
      <c r="K27" s="15"/>
    </row>
    <row r="28" spans="1:11" ht="29" x14ac:dyDescent="0.35">
      <c r="A28" s="9" t="s">
        <v>43</v>
      </c>
      <c r="B28" s="15" t="s">
        <v>413</v>
      </c>
      <c r="C28" s="6">
        <v>1943</v>
      </c>
      <c r="D28" s="6">
        <v>1974</v>
      </c>
      <c r="E28" s="6">
        <v>32</v>
      </c>
      <c r="F28" s="6">
        <v>6</v>
      </c>
      <c r="G28" s="6"/>
      <c r="H28" s="20">
        <v>15</v>
      </c>
      <c r="I28" s="13">
        <f>SUM(E28:H28)</f>
        <v>53</v>
      </c>
      <c r="J28" s="8" t="s">
        <v>451</v>
      </c>
      <c r="K28" s="15"/>
    </row>
    <row r="29" spans="1:11" ht="29" x14ac:dyDescent="0.35">
      <c r="A29" s="9" t="s">
        <v>403</v>
      </c>
      <c r="B29" s="15" t="s">
        <v>397</v>
      </c>
      <c r="C29" s="6">
        <v>1991</v>
      </c>
      <c r="D29" s="6">
        <v>1992</v>
      </c>
      <c r="E29" s="6"/>
      <c r="F29" s="6"/>
      <c r="G29" s="6"/>
      <c r="H29" s="20">
        <v>1</v>
      </c>
      <c r="I29" s="13">
        <f>SUM(E29:H29)</f>
        <v>1</v>
      </c>
      <c r="J29" s="8" t="s">
        <v>402</v>
      </c>
      <c r="K29" s="15"/>
    </row>
    <row r="30" spans="1:11" x14ac:dyDescent="0.35">
      <c r="A30" s="9" t="s">
        <v>394</v>
      </c>
      <c r="B30" s="15" t="s">
        <v>390</v>
      </c>
      <c r="C30" s="6">
        <v>2018</v>
      </c>
      <c r="D30" s="10" t="s">
        <v>26</v>
      </c>
      <c r="E30" s="6"/>
      <c r="F30" s="6"/>
      <c r="G30" s="6"/>
      <c r="H30" s="20">
        <v>1</v>
      </c>
      <c r="I30" s="13">
        <f>SUM(E30:H30)</f>
        <v>1</v>
      </c>
      <c r="J30" s="8" t="s">
        <v>395</v>
      </c>
      <c r="K30" s="15"/>
    </row>
    <row r="31" spans="1:11" x14ac:dyDescent="0.35">
      <c r="A31" s="9" t="s">
        <v>45</v>
      </c>
      <c r="B31" s="15" t="s">
        <v>24</v>
      </c>
      <c r="C31" s="6">
        <v>1995</v>
      </c>
      <c r="D31" s="10" t="s">
        <v>26</v>
      </c>
      <c r="E31" s="6">
        <v>22</v>
      </c>
      <c r="F31" s="6"/>
      <c r="G31" s="6"/>
      <c r="H31" s="20"/>
      <c r="I31" s="13">
        <f>SUM(E31:H31)</f>
        <v>22</v>
      </c>
      <c r="J31" s="8" t="s">
        <v>44</v>
      </c>
      <c r="K31" s="15"/>
    </row>
    <row r="32" spans="1:11" ht="42" customHeight="1" x14ac:dyDescent="0.35">
      <c r="A32" s="9" t="s">
        <v>49</v>
      </c>
      <c r="B32" s="15" t="s">
        <v>8</v>
      </c>
      <c r="C32" s="6">
        <v>1969</v>
      </c>
      <c r="D32" s="6">
        <v>1984</v>
      </c>
      <c r="E32" s="6"/>
      <c r="F32" s="6">
        <v>9</v>
      </c>
      <c r="G32" s="6"/>
      <c r="H32" s="20"/>
      <c r="I32" s="13">
        <f>SUM(E32:H32)</f>
        <v>9</v>
      </c>
      <c r="J32" s="8" t="s">
        <v>48</v>
      </c>
      <c r="K32" s="15"/>
    </row>
    <row r="33" spans="1:11" ht="43.5" x14ac:dyDescent="0.35">
      <c r="A33" s="9" t="s">
        <v>50</v>
      </c>
      <c r="B33" s="15" t="s">
        <v>47</v>
      </c>
      <c r="C33" s="6">
        <v>1940</v>
      </c>
      <c r="D33" s="6">
        <v>1942</v>
      </c>
      <c r="E33" s="6"/>
      <c r="F33" s="6"/>
      <c r="G33" s="6">
        <v>72</v>
      </c>
      <c r="H33" s="20"/>
      <c r="I33" s="13">
        <f>SUM(E33:H33)</f>
        <v>72</v>
      </c>
      <c r="J33" s="8" t="s">
        <v>51</v>
      </c>
      <c r="K33" s="15"/>
    </row>
    <row r="34" spans="1:11" x14ac:dyDescent="0.35">
      <c r="A34" s="9" t="s">
        <v>54</v>
      </c>
      <c r="B34" s="15" t="s">
        <v>6</v>
      </c>
      <c r="C34" s="6">
        <v>1917</v>
      </c>
      <c r="D34" s="6">
        <v>1920</v>
      </c>
      <c r="E34" s="6">
        <v>1</v>
      </c>
      <c r="F34" s="6"/>
      <c r="G34" s="6"/>
      <c r="H34" s="20"/>
      <c r="I34" s="13">
        <f>SUM(E34:H34)</f>
        <v>1</v>
      </c>
      <c r="J34" s="8" t="s">
        <v>17</v>
      </c>
      <c r="K34" s="15"/>
    </row>
    <row r="35" spans="1:11" x14ac:dyDescent="0.35">
      <c r="A35" s="9" t="s">
        <v>55</v>
      </c>
      <c r="B35" s="15" t="s">
        <v>52</v>
      </c>
      <c r="C35" s="6">
        <v>1937</v>
      </c>
      <c r="D35" s="6">
        <v>1942</v>
      </c>
      <c r="E35" s="6">
        <v>1</v>
      </c>
      <c r="F35" s="6"/>
      <c r="G35" s="6">
        <v>6</v>
      </c>
      <c r="H35" s="20"/>
      <c r="I35" s="13">
        <f>SUM(E35:H35)</f>
        <v>7</v>
      </c>
      <c r="J35" s="8" t="s">
        <v>53</v>
      </c>
      <c r="K35" s="15"/>
    </row>
    <row r="36" spans="1:11" x14ac:dyDescent="0.35">
      <c r="A36" s="9" t="s">
        <v>57</v>
      </c>
      <c r="B36" s="15" t="s">
        <v>8</v>
      </c>
      <c r="C36" s="6">
        <v>1919</v>
      </c>
      <c r="D36" s="6">
        <v>1934</v>
      </c>
      <c r="E36" s="6"/>
      <c r="F36" s="6">
        <v>41</v>
      </c>
      <c r="G36" s="6"/>
      <c r="H36" s="20"/>
      <c r="I36" s="13">
        <f>SUM(E36:H36)</f>
        <v>41</v>
      </c>
      <c r="J36" s="8" t="s">
        <v>56</v>
      </c>
      <c r="K36" s="15"/>
    </row>
    <row r="37" spans="1:11" x14ac:dyDescent="0.35">
      <c r="A37" s="9" t="s">
        <v>59</v>
      </c>
      <c r="B37" s="15" t="s">
        <v>8</v>
      </c>
      <c r="C37" s="6">
        <v>1921</v>
      </c>
      <c r="D37" s="6">
        <v>1933</v>
      </c>
      <c r="E37" s="6"/>
      <c r="F37" s="6">
        <v>6</v>
      </c>
      <c r="G37" s="6"/>
      <c r="H37" s="6"/>
      <c r="I37" s="7">
        <f>SUM(E37:H37)</f>
        <v>6</v>
      </c>
      <c r="J37" s="8" t="s">
        <v>58</v>
      </c>
      <c r="K37" s="15"/>
    </row>
    <row r="38" spans="1:11" x14ac:dyDescent="0.35">
      <c r="A38" s="9" t="s">
        <v>60</v>
      </c>
      <c r="B38" s="15" t="s">
        <v>6</v>
      </c>
      <c r="C38" s="6">
        <v>1918</v>
      </c>
      <c r="D38" s="6">
        <v>1925</v>
      </c>
      <c r="E38" s="6">
        <v>5</v>
      </c>
      <c r="F38" s="6"/>
      <c r="G38" s="6"/>
      <c r="H38" s="6"/>
      <c r="I38" s="7">
        <f>SUM(E38:H38)</f>
        <v>5</v>
      </c>
      <c r="J38" s="8" t="s">
        <v>13</v>
      </c>
      <c r="K38" s="15"/>
    </row>
    <row r="39" spans="1:11" x14ac:dyDescent="0.35">
      <c r="A39" s="9" t="s">
        <v>445</v>
      </c>
      <c r="B39" s="15" t="s">
        <v>436</v>
      </c>
      <c r="C39" s="6">
        <v>1972</v>
      </c>
      <c r="D39" s="6">
        <v>1980</v>
      </c>
      <c r="E39" s="6"/>
      <c r="F39" s="6"/>
      <c r="G39" s="6"/>
      <c r="H39" s="6">
        <v>8</v>
      </c>
      <c r="I39" s="7">
        <f>SUM(E39:H39)</f>
        <v>8</v>
      </c>
      <c r="J39" s="8" t="s">
        <v>446</v>
      </c>
      <c r="K39" s="15"/>
    </row>
    <row r="40" spans="1:11" x14ac:dyDescent="0.35">
      <c r="A40" s="9" t="s">
        <v>448</v>
      </c>
      <c r="B40" s="15" t="s">
        <v>436</v>
      </c>
      <c r="C40" s="6">
        <v>1980</v>
      </c>
      <c r="D40" s="6">
        <v>1992</v>
      </c>
      <c r="E40" s="6"/>
      <c r="F40" s="6"/>
      <c r="G40" s="6"/>
      <c r="H40" s="6">
        <v>8</v>
      </c>
      <c r="I40" s="7">
        <f>SUM(E40:H40)</f>
        <v>8</v>
      </c>
      <c r="J40" s="8" t="s">
        <v>449</v>
      </c>
      <c r="K40" s="15"/>
    </row>
    <row r="41" spans="1:11" ht="29" x14ac:dyDescent="0.35">
      <c r="A41" s="9" t="s">
        <v>396</v>
      </c>
      <c r="B41" s="15" t="s">
        <v>397</v>
      </c>
      <c r="C41" s="6">
        <v>1961</v>
      </c>
      <c r="D41" s="6">
        <v>1984</v>
      </c>
      <c r="E41" s="6"/>
      <c r="F41" s="6"/>
      <c r="G41" s="6"/>
      <c r="H41" s="6">
        <v>6</v>
      </c>
      <c r="I41" s="7">
        <f>SUM(E41:H41)</f>
        <v>6</v>
      </c>
      <c r="J41" s="8"/>
      <c r="K41" s="15"/>
    </row>
    <row r="42" spans="1:11" ht="29" x14ac:dyDescent="0.35">
      <c r="A42" s="9" t="s">
        <v>398</v>
      </c>
      <c r="B42" s="15" t="s">
        <v>397</v>
      </c>
      <c r="C42" s="6">
        <v>19873</v>
      </c>
      <c r="D42" s="6">
        <v>1988</v>
      </c>
      <c r="E42" s="6"/>
      <c r="F42" s="6"/>
      <c r="G42" s="6"/>
      <c r="H42" s="6">
        <v>2</v>
      </c>
      <c r="I42" s="7">
        <f>SUM(E42:H42)</f>
        <v>2</v>
      </c>
      <c r="J42" s="8"/>
      <c r="K42" s="15"/>
    </row>
    <row r="43" spans="1:11" ht="29" x14ac:dyDescent="0.35">
      <c r="A43" s="9" t="s">
        <v>400</v>
      </c>
      <c r="B43" s="15" t="s">
        <v>397</v>
      </c>
      <c r="C43" s="6">
        <v>1984</v>
      </c>
      <c r="D43" s="6">
        <v>2014</v>
      </c>
      <c r="E43" s="6"/>
      <c r="F43" s="6"/>
      <c r="G43" s="6"/>
      <c r="H43" s="6">
        <v>3</v>
      </c>
      <c r="I43" s="7">
        <f>SUM(E43:H43)</f>
        <v>3</v>
      </c>
      <c r="J43" s="8"/>
      <c r="K43" s="15"/>
    </row>
    <row r="44" spans="1:11" x14ac:dyDescent="0.35">
      <c r="A44" s="9" t="s">
        <v>439</v>
      </c>
      <c r="B44" s="15" t="s">
        <v>436</v>
      </c>
      <c r="C44" s="6">
        <v>1972</v>
      </c>
      <c r="D44" s="6">
        <v>1995</v>
      </c>
      <c r="E44" s="6"/>
      <c r="F44" s="6"/>
      <c r="G44" s="6"/>
      <c r="H44" s="6">
        <v>3</v>
      </c>
      <c r="I44" s="7">
        <f>SUM(E44:H44)</f>
        <v>3</v>
      </c>
      <c r="J44" s="8"/>
      <c r="K44" s="15"/>
    </row>
    <row r="45" spans="1:11" ht="29" x14ac:dyDescent="0.35">
      <c r="A45" s="9" t="s">
        <v>62</v>
      </c>
      <c r="B45" s="15" t="s">
        <v>47</v>
      </c>
      <c r="C45" s="6">
        <v>1946</v>
      </c>
      <c r="D45" s="6">
        <v>1949</v>
      </c>
      <c r="E45" s="6"/>
      <c r="F45" s="6"/>
      <c r="G45" s="6">
        <v>51</v>
      </c>
      <c r="H45" s="6"/>
      <c r="I45" s="7">
        <f>SUM(E45:H45)</f>
        <v>51</v>
      </c>
      <c r="J45" s="8" t="s">
        <v>61</v>
      </c>
      <c r="K45" s="15"/>
    </row>
    <row r="46" spans="1:11" x14ac:dyDescent="0.35">
      <c r="A46" s="9" t="s">
        <v>65</v>
      </c>
      <c r="B46" s="15" t="s">
        <v>8</v>
      </c>
      <c r="C46" s="6">
        <v>1944</v>
      </c>
      <c r="D46" s="6">
        <v>1945</v>
      </c>
      <c r="E46" s="6"/>
      <c r="F46" s="6">
        <v>23</v>
      </c>
      <c r="G46" s="6"/>
      <c r="H46" s="6"/>
      <c r="I46" s="7">
        <f>SUM(E46:H46)</f>
        <v>23</v>
      </c>
      <c r="J46" s="8" t="s">
        <v>63</v>
      </c>
      <c r="K46" s="15"/>
    </row>
    <row r="47" spans="1:11" x14ac:dyDescent="0.35">
      <c r="A47" s="9" t="s">
        <v>66</v>
      </c>
      <c r="B47" s="15" t="s">
        <v>8</v>
      </c>
      <c r="C47" s="6">
        <v>1941</v>
      </c>
      <c r="D47" s="6">
        <v>1957</v>
      </c>
      <c r="E47" s="6"/>
      <c r="F47" s="6">
        <v>54</v>
      </c>
      <c r="G47" s="6"/>
      <c r="H47" s="6"/>
      <c r="I47" s="7">
        <f>SUM(E47:H47)</f>
        <v>54</v>
      </c>
      <c r="J47" s="8" t="s">
        <v>64</v>
      </c>
      <c r="K47" s="15"/>
    </row>
    <row r="48" spans="1:11" x14ac:dyDescent="0.35">
      <c r="A48" s="9" t="s">
        <v>69</v>
      </c>
      <c r="B48" s="15" t="s">
        <v>8</v>
      </c>
      <c r="C48" s="6">
        <v>1918</v>
      </c>
      <c r="D48" s="6">
        <v>1918</v>
      </c>
      <c r="E48" s="6"/>
      <c r="F48" s="6">
        <v>2</v>
      </c>
      <c r="G48" s="6"/>
      <c r="H48" s="6"/>
      <c r="I48" s="7">
        <f>SUM(E48:H48)</f>
        <v>2</v>
      </c>
      <c r="J48" s="8" t="s">
        <v>17</v>
      </c>
      <c r="K48" s="15"/>
    </row>
    <row r="49" spans="1:11" x14ac:dyDescent="0.35">
      <c r="A49" s="9" t="s">
        <v>70</v>
      </c>
      <c r="B49" s="15" t="s">
        <v>47</v>
      </c>
      <c r="C49" s="6">
        <v>1940</v>
      </c>
      <c r="D49" s="6">
        <v>1942</v>
      </c>
      <c r="E49" s="6"/>
      <c r="F49" s="6"/>
      <c r="G49" s="6">
        <v>36</v>
      </c>
      <c r="H49" s="6"/>
      <c r="I49" s="7">
        <f>SUM(E49:H49)</f>
        <v>36</v>
      </c>
      <c r="J49" s="8" t="s">
        <v>67</v>
      </c>
      <c r="K49" s="15"/>
    </row>
    <row r="50" spans="1:11" x14ac:dyDescent="0.35">
      <c r="A50" s="11" t="s">
        <v>71</v>
      </c>
      <c r="B50" s="15" t="s">
        <v>47</v>
      </c>
      <c r="C50" s="6">
        <v>1929</v>
      </c>
      <c r="D50" s="6">
        <v>1936</v>
      </c>
      <c r="E50" s="6"/>
      <c r="F50" s="6"/>
      <c r="G50" s="6">
        <v>25</v>
      </c>
      <c r="H50" s="6"/>
      <c r="I50" s="7">
        <f>SUM(E50:H50)</f>
        <v>25</v>
      </c>
      <c r="J50" s="8" t="s">
        <v>68</v>
      </c>
      <c r="K50" s="15"/>
    </row>
    <row r="51" spans="1:11" ht="29" x14ac:dyDescent="0.35">
      <c r="A51" s="9" t="s">
        <v>73</v>
      </c>
      <c r="B51" s="15" t="s">
        <v>430</v>
      </c>
      <c r="C51" s="6">
        <v>1943</v>
      </c>
      <c r="D51" s="6">
        <v>1949</v>
      </c>
      <c r="E51" s="6"/>
      <c r="F51" s="6"/>
      <c r="G51" s="6">
        <v>67</v>
      </c>
      <c r="H51" s="6">
        <v>24</v>
      </c>
      <c r="I51" s="7">
        <f>SUM(E51:H51)</f>
        <v>91</v>
      </c>
      <c r="J51" s="8" t="s">
        <v>72</v>
      </c>
      <c r="K51" s="15"/>
    </row>
    <row r="52" spans="1:11" x14ac:dyDescent="0.35">
      <c r="A52" s="9" t="s">
        <v>75</v>
      </c>
      <c r="B52" s="15" t="s">
        <v>47</v>
      </c>
      <c r="C52" s="6">
        <v>1941</v>
      </c>
      <c r="D52" s="6">
        <v>1942</v>
      </c>
      <c r="E52" s="6"/>
      <c r="F52" s="6"/>
      <c r="G52" s="6">
        <v>24</v>
      </c>
      <c r="H52" s="6"/>
      <c r="I52" s="7">
        <f>SUM(E52:H52)</f>
        <v>24</v>
      </c>
      <c r="J52" s="8" t="s">
        <v>74</v>
      </c>
      <c r="K52" s="15"/>
    </row>
    <row r="53" spans="1:11" x14ac:dyDescent="0.35">
      <c r="A53" s="9" t="s">
        <v>77</v>
      </c>
      <c r="B53" s="15" t="s">
        <v>47</v>
      </c>
      <c r="C53" s="6">
        <v>1941</v>
      </c>
      <c r="D53" s="6">
        <v>1942</v>
      </c>
      <c r="E53" s="6"/>
      <c r="F53" s="6"/>
      <c r="G53" s="6">
        <v>35</v>
      </c>
      <c r="H53" s="6"/>
      <c r="I53" s="7">
        <f>SUM(E53:H53)</f>
        <v>35</v>
      </c>
      <c r="J53" s="8" t="s">
        <v>76</v>
      </c>
      <c r="K53" s="15"/>
    </row>
    <row r="54" spans="1:11" x14ac:dyDescent="0.35">
      <c r="A54" s="6" t="s">
        <v>78</v>
      </c>
      <c r="B54" s="15" t="s">
        <v>24</v>
      </c>
      <c r="C54" s="6">
        <v>1956</v>
      </c>
      <c r="D54" s="6">
        <v>1974</v>
      </c>
      <c r="E54" s="6">
        <v>9</v>
      </c>
      <c r="F54" s="6"/>
      <c r="G54" s="6"/>
      <c r="H54" s="6"/>
      <c r="I54" s="7">
        <f>SUM(E54:H54)</f>
        <v>9</v>
      </c>
      <c r="J54" s="8" t="s">
        <v>82</v>
      </c>
      <c r="K54" s="15"/>
    </row>
    <row r="55" spans="1:11" ht="29" x14ac:dyDescent="0.35">
      <c r="A55" s="6" t="s">
        <v>380</v>
      </c>
      <c r="B55" s="15" t="s">
        <v>378</v>
      </c>
      <c r="C55" s="6">
        <v>2007</v>
      </c>
      <c r="D55" s="10" t="s">
        <v>26</v>
      </c>
      <c r="E55" s="6"/>
      <c r="F55" s="6"/>
      <c r="G55" s="6"/>
      <c r="H55" s="6">
        <v>4</v>
      </c>
      <c r="I55" s="7">
        <f>SUM(E55:H55)</f>
        <v>4</v>
      </c>
      <c r="J55" s="8" t="s">
        <v>381</v>
      </c>
      <c r="K55" s="15"/>
    </row>
    <row r="56" spans="1:11" ht="29" x14ac:dyDescent="0.35">
      <c r="A56" s="9" t="s">
        <v>83</v>
      </c>
      <c r="B56" s="15" t="s">
        <v>431</v>
      </c>
      <c r="C56" s="6">
        <v>1946</v>
      </c>
      <c r="D56" s="6">
        <v>1966</v>
      </c>
      <c r="E56" s="6">
        <v>56</v>
      </c>
      <c r="F56" s="6">
        <v>3</v>
      </c>
      <c r="G56" s="6"/>
      <c r="H56" s="6">
        <v>30</v>
      </c>
      <c r="I56" s="7">
        <f>SUM(E56:H56)</f>
        <v>89</v>
      </c>
      <c r="J56" s="8" t="s">
        <v>456</v>
      </c>
      <c r="K56" s="15"/>
    </row>
    <row r="57" spans="1:11" x14ac:dyDescent="0.35">
      <c r="A57" s="6" t="s">
        <v>85</v>
      </c>
      <c r="B57" s="15" t="s">
        <v>21</v>
      </c>
      <c r="C57" s="6">
        <v>1943</v>
      </c>
      <c r="D57" s="6">
        <v>1956</v>
      </c>
      <c r="E57" s="6">
        <v>7</v>
      </c>
      <c r="F57" s="6"/>
      <c r="G57" s="6"/>
      <c r="H57" s="6"/>
      <c r="I57" s="7">
        <f>SUM(E57:H57)</f>
        <v>7</v>
      </c>
      <c r="J57" s="8" t="s">
        <v>86</v>
      </c>
      <c r="K57" s="15"/>
    </row>
    <row r="58" spans="1:11" x14ac:dyDescent="0.35">
      <c r="A58" s="6" t="s">
        <v>87</v>
      </c>
      <c r="B58" s="15" t="s">
        <v>6</v>
      </c>
      <c r="C58" s="6">
        <v>1917</v>
      </c>
      <c r="D58" s="6">
        <v>1919</v>
      </c>
      <c r="E58" s="6">
        <v>8</v>
      </c>
      <c r="F58" s="6"/>
      <c r="G58" s="6"/>
      <c r="H58" s="6"/>
      <c r="I58" s="7">
        <f>SUM(E58:H58)</f>
        <v>8</v>
      </c>
      <c r="J58" s="8" t="s">
        <v>88</v>
      </c>
      <c r="K58" s="15"/>
    </row>
    <row r="59" spans="1:11" ht="29" x14ac:dyDescent="0.35">
      <c r="A59" s="6" t="s">
        <v>89</v>
      </c>
      <c r="B59" s="15" t="s">
        <v>8</v>
      </c>
      <c r="C59" s="6">
        <v>1937</v>
      </c>
      <c r="D59" s="6">
        <v>1943</v>
      </c>
      <c r="E59" s="6"/>
      <c r="F59" s="6">
        <v>37</v>
      </c>
      <c r="G59" s="6"/>
      <c r="H59" s="6"/>
      <c r="I59" s="7">
        <f>SUM(E59:H59)</f>
        <v>37</v>
      </c>
      <c r="J59" s="8" t="s">
        <v>90</v>
      </c>
      <c r="K59" s="15"/>
    </row>
    <row r="60" spans="1:11" x14ac:dyDescent="0.35">
      <c r="A60" s="6" t="s">
        <v>377</v>
      </c>
      <c r="B60" s="15" t="s">
        <v>378</v>
      </c>
      <c r="C60" s="6">
        <v>1992</v>
      </c>
      <c r="D60" s="6">
        <v>2022</v>
      </c>
      <c r="E60" s="6"/>
      <c r="F60" s="6"/>
      <c r="G60" s="6"/>
      <c r="H60" s="6">
        <v>3</v>
      </c>
      <c r="I60" s="7">
        <f>SUM(E60:H60)</f>
        <v>3</v>
      </c>
      <c r="J60" s="8" t="s">
        <v>379</v>
      </c>
      <c r="K60" s="15"/>
    </row>
    <row r="61" spans="1:11" ht="29" x14ac:dyDescent="0.35">
      <c r="A61" s="6" t="s">
        <v>91</v>
      </c>
      <c r="B61" s="15" t="s">
        <v>8</v>
      </c>
      <c r="C61" s="6">
        <v>1926</v>
      </c>
      <c r="D61" s="6">
        <v>1940</v>
      </c>
      <c r="E61" s="6"/>
      <c r="F61" s="6">
        <v>46</v>
      </c>
      <c r="G61" s="6"/>
      <c r="H61" s="6"/>
      <c r="I61" s="7">
        <f>SUM(E61:H61)</f>
        <v>46</v>
      </c>
      <c r="J61" s="8" t="s">
        <v>92</v>
      </c>
      <c r="K61" s="15"/>
    </row>
    <row r="62" spans="1:11" x14ac:dyDescent="0.35">
      <c r="A62" s="6" t="s">
        <v>93</v>
      </c>
      <c r="B62" s="15" t="s">
        <v>432</v>
      </c>
      <c r="C62" s="6">
        <v>1946</v>
      </c>
      <c r="D62" s="6">
        <v>1947</v>
      </c>
      <c r="E62" s="6"/>
      <c r="F62" s="6"/>
      <c r="G62" s="6"/>
      <c r="H62" s="6">
        <v>22</v>
      </c>
      <c r="I62" s="7">
        <f>SUM(E62:H62)</f>
        <v>22</v>
      </c>
      <c r="J62" s="8" t="s">
        <v>94</v>
      </c>
      <c r="K62" s="15"/>
    </row>
    <row r="63" spans="1:11" x14ac:dyDescent="0.35">
      <c r="A63" s="6" t="s">
        <v>95</v>
      </c>
      <c r="B63" s="15" t="s">
        <v>96</v>
      </c>
      <c r="C63" s="6">
        <v>1942</v>
      </c>
      <c r="D63" s="6">
        <v>1942</v>
      </c>
      <c r="E63" s="6"/>
      <c r="F63" s="6">
        <v>6</v>
      </c>
      <c r="G63" s="6"/>
      <c r="H63" s="6"/>
      <c r="I63" s="7">
        <f>SUM(E63:H63)</f>
        <v>6</v>
      </c>
      <c r="J63" s="8" t="s">
        <v>97</v>
      </c>
      <c r="K63" s="15"/>
    </row>
    <row r="64" spans="1:11" ht="29" x14ac:dyDescent="0.35">
      <c r="A64" s="6" t="s">
        <v>98</v>
      </c>
      <c r="B64" s="15" t="s">
        <v>123</v>
      </c>
      <c r="C64" s="6">
        <v>1939</v>
      </c>
      <c r="D64" s="6">
        <v>1940</v>
      </c>
      <c r="E64" s="6">
        <v>18</v>
      </c>
      <c r="F64" s="6"/>
      <c r="G64" s="6"/>
      <c r="H64" s="6"/>
      <c r="I64" s="7">
        <f>SUM(E64:H64)</f>
        <v>18</v>
      </c>
      <c r="J64" s="8" t="s">
        <v>99</v>
      </c>
      <c r="K64" s="15"/>
    </row>
    <row r="65" spans="1:11" x14ac:dyDescent="0.35">
      <c r="A65" s="6" t="s">
        <v>100</v>
      </c>
      <c r="B65" s="15" t="s">
        <v>23</v>
      </c>
      <c r="C65" s="6">
        <v>1945</v>
      </c>
      <c r="D65" s="6">
        <v>1945</v>
      </c>
      <c r="E65" s="6">
        <v>1</v>
      </c>
      <c r="F65" s="6"/>
      <c r="G65" s="6"/>
      <c r="H65" s="6"/>
      <c r="I65" s="7">
        <f>SUM(E65:H65)</f>
        <v>1</v>
      </c>
      <c r="J65" s="8" t="s">
        <v>101</v>
      </c>
      <c r="K65" s="15"/>
    </row>
    <row r="66" spans="1:11" ht="58" x14ac:dyDescent="0.35">
      <c r="A66" s="6" t="s">
        <v>102</v>
      </c>
      <c r="B66" s="15" t="s">
        <v>442</v>
      </c>
      <c r="C66" s="6">
        <v>1944</v>
      </c>
      <c r="D66" s="6">
        <v>1962</v>
      </c>
      <c r="E66" s="6">
        <v>41</v>
      </c>
      <c r="F66" s="6">
        <v>16</v>
      </c>
      <c r="G66" s="6">
        <v>48</v>
      </c>
      <c r="H66" s="6">
        <v>12</v>
      </c>
      <c r="I66" s="7">
        <f>SUM(E66:H66)</f>
        <v>117</v>
      </c>
      <c r="J66" s="8" t="s">
        <v>443</v>
      </c>
      <c r="K66" s="15"/>
    </row>
    <row r="67" spans="1:11" ht="29" x14ac:dyDescent="0.35">
      <c r="A67" s="6" t="s">
        <v>423</v>
      </c>
      <c r="B67" s="15" t="s">
        <v>424</v>
      </c>
      <c r="C67" s="6">
        <v>1940</v>
      </c>
      <c r="D67" s="6">
        <v>1942</v>
      </c>
      <c r="E67" s="6"/>
      <c r="F67" s="6"/>
      <c r="G67" s="6"/>
      <c r="H67" s="6">
        <v>4</v>
      </c>
      <c r="I67" s="7">
        <f>SUM(E67:H67)</f>
        <v>4</v>
      </c>
      <c r="J67" s="8" t="s">
        <v>425</v>
      </c>
      <c r="K67" s="15"/>
    </row>
    <row r="68" spans="1:11" x14ac:dyDescent="0.35">
      <c r="A68" s="6" t="s">
        <v>103</v>
      </c>
      <c r="B68" s="15" t="s">
        <v>104</v>
      </c>
      <c r="C68" s="6">
        <v>1996</v>
      </c>
      <c r="D68" s="10" t="s">
        <v>26</v>
      </c>
      <c r="E68" s="6">
        <v>17</v>
      </c>
      <c r="F68" s="6"/>
      <c r="G68" s="6"/>
      <c r="H68" s="6"/>
      <c r="I68" s="7">
        <f>SUM(E68:H68)</f>
        <v>17</v>
      </c>
      <c r="J68" s="8" t="s">
        <v>433</v>
      </c>
      <c r="K68" s="15"/>
    </row>
    <row r="69" spans="1:11" x14ac:dyDescent="0.35">
      <c r="A69" s="6" t="s">
        <v>386</v>
      </c>
      <c r="B69" s="15" t="s">
        <v>378</v>
      </c>
      <c r="C69" s="6">
        <v>2015</v>
      </c>
      <c r="D69" s="10">
        <v>2022</v>
      </c>
      <c r="E69" s="6"/>
      <c r="F69" s="6"/>
      <c r="G69" s="6"/>
      <c r="H69" s="6">
        <v>3</v>
      </c>
      <c r="I69" s="7">
        <f>SUM(E69:H69)</f>
        <v>3</v>
      </c>
      <c r="J69" s="8" t="s">
        <v>387</v>
      </c>
      <c r="K69" s="15"/>
    </row>
    <row r="70" spans="1:11" ht="29" x14ac:dyDescent="0.35">
      <c r="A70" s="6" t="s">
        <v>404</v>
      </c>
      <c r="B70" s="15" t="s">
        <v>397</v>
      </c>
      <c r="C70" s="6">
        <v>1995</v>
      </c>
      <c r="D70" s="10">
        <v>2002</v>
      </c>
      <c r="E70" s="6"/>
      <c r="F70" s="6"/>
      <c r="G70" s="6"/>
      <c r="H70" s="6">
        <v>2</v>
      </c>
      <c r="I70" s="7">
        <f>SUM(E70:H70)</f>
        <v>2</v>
      </c>
      <c r="J70" s="8" t="s">
        <v>405</v>
      </c>
      <c r="K70" s="15"/>
    </row>
    <row r="71" spans="1:11" ht="29" x14ac:dyDescent="0.35">
      <c r="A71" s="6" t="s">
        <v>407</v>
      </c>
      <c r="B71" s="15" t="s">
        <v>397</v>
      </c>
      <c r="C71" s="6">
        <v>2009</v>
      </c>
      <c r="D71" s="10" t="s">
        <v>26</v>
      </c>
      <c r="E71" s="6"/>
      <c r="F71" s="6"/>
      <c r="G71" s="6"/>
      <c r="H71" s="6">
        <v>12</v>
      </c>
      <c r="I71" s="7">
        <f>SUM(E71:H71)</f>
        <v>12</v>
      </c>
      <c r="J71" s="8" t="s">
        <v>419</v>
      </c>
      <c r="K71" s="15"/>
    </row>
    <row r="72" spans="1:11" x14ac:dyDescent="0.35">
      <c r="A72" s="6" t="s">
        <v>105</v>
      </c>
      <c r="B72" s="15" t="s">
        <v>8</v>
      </c>
      <c r="C72" s="6">
        <v>1945</v>
      </c>
      <c r="D72" s="6">
        <v>1946</v>
      </c>
      <c r="E72" s="6"/>
      <c r="F72" s="6">
        <v>21</v>
      </c>
      <c r="G72" s="6"/>
      <c r="H72" s="6"/>
      <c r="I72" s="7">
        <f>SUM(E72:H72)</f>
        <v>21</v>
      </c>
      <c r="J72" s="8" t="s">
        <v>106</v>
      </c>
      <c r="K72" s="15"/>
    </row>
    <row r="73" spans="1:11" ht="29" x14ac:dyDescent="0.35">
      <c r="A73" s="6" t="s">
        <v>107</v>
      </c>
      <c r="B73" s="15" t="s">
        <v>8</v>
      </c>
      <c r="C73" s="6">
        <v>1946</v>
      </c>
      <c r="D73" s="6"/>
      <c r="E73" s="6"/>
      <c r="F73" s="6">
        <v>94</v>
      </c>
      <c r="G73" s="6"/>
      <c r="H73" s="6"/>
      <c r="I73" s="7">
        <f>SUM(E73:H73)</f>
        <v>94</v>
      </c>
      <c r="J73" s="8" t="s">
        <v>108</v>
      </c>
      <c r="K73" s="15"/>
    </row>
    <row r="74" spans="1:11" x14ac:dyDescent="0.35">
      <c r="A74" s="6" t="s">
        <v>109</v>
      </c>
      <c r="B74" s="15" t="s">
        <v>8</v>
      </c>
      <c r="C74" s="6">
        <v>1925</v>
      </c>
      <c r="D74" s="6">
        <v>1930</v>
      </c>
      <c r="E74" s="6"/>
      <c r="F74" s="6">
        <v>4</v>
      </c>
      <c r="G74" s="6"/>
      <c r="H74" s="6"/>
      <c r="I74" s="7">
        <f>SUM(E74:H74)</f>
        <v>4</v>
      </c>
      <c r="J74" s="8" t="s">
        <v>110</v>
      </c>
      <c r="K74" s="15"/>
    </row>
    <row r="75" spans="1:11" x14ac:dyDescent="0.35">
      <c r="A75" s="6" t="s">
        <v>111</v>
      </c>
      <c r="B75" s="15" t="s">
        <v>8</v>
      </c>
      <c r="C75" s="6">
        <v>1943</v>
      </c>
      <c r="D75" s="6">
        <v>1945</v>
      </c>
      <c r="E75" s="6"/>
      <c r="F75" s="6">
        <v>37</v>
      </c>
      <c r="G75" s="6"/>
      <c r="H75" s="6"/>
      <c r="I75" s="7">
        <f>SUM(E75:H75)</f>
        <v>37</v>
      </c>
      <c r="J75" s="8" t="s">
        <v>112</v>
      </c>
      <c r="K75" s="15"/>
    </row>
    <row r="76" spans="1:11" ht="29" x14ac:dyDescent="0.35">
      <c r="A76" s="6" t="s">
        <v>113</v>
      </c>
      <c r="B76" s="15" t="s">
        <v>114</v>
      </c>
      <c r="C76" s="6">
        <v>1913</v>
      </c>
      <c r="D76" s="6">
        <v>1922</v>
      </c>
      <c r="E76" s="6">
        <v>20</v>
      </c>
      <c r="F76" s="6">
        <v>7</v>
      </c>
      <c r="G76" s="6">
        <v>4</v>
      </c>
      <c r="H76" s="6"/>
      <c r="I76" s="7">
        <f>SUM(E76:H76)</f>
        <v>31</v>
      </c>
      <c r="J76" s="8" t="s">
        <v>115</v>
      </c>
      <c r="K76" s="15"/>
    </row>
    <row r="77" spans="1:11" x14ac:dyDescent="0.35">
      <c r="A77" s="6" t="s">
        <v>116</v>
      </c>
      <c r="B77" s="15" t="s">
        <v>6</v>
      </c>
      <c r="C77" s="6">
        <v>1916</v>
      </c>
      <c r="D77" s="6">
        <v>1920</v>
      </c>
      <c r="E77" s="6">
        <v>1</v>
      </c>
      <c r="F77" s="6"/>
      <c r="G77" s="6"/>
      <c r="H77" s="6"/>
      <c r="I77" s="7">
        <f>SUM(E77:H77)</f>
        <v>1</v>
      </c>
      <c r="J77" s="8" t="s">
        <v>117</v>
      </c>
      <c r="K77" s="15"/>
    </row>
    <row r="78" spans="1:11" x14ac:dyDescent="0.35">
      <c r="A78" s="6" t="s">
        <v>118</v>
      </c>
      <c r="B78" s="15" t="s">
        <v>8</v>
      </c>
      <c r="C78" s="6">
        <v>1916</v>
      </c>
      <c r="D78" s="6">
        <v>1918</v>
      </c>
      <c r="E78" s="6"/>
      <c r="F78" s="6">
        <v>2</v>
      </c>
      <c r="G78" s="6"/>
      <c r="H78" s="6"/>
      <c r="I78" s="7">
        <f>SUM(E78:H78)</f>
        <v>2</v>
      </c>
      <c r="J78" s="8" t="s">
        <v>119</v>
      </c>
      <c r="K78" s="15"/>
    </row>
    <row r="79" spans="1:11" x14ac:dyDescent="0.35">
      <c r="A79" s="6" t="s">
        <v>120</v>
      </c>
      <c r="B79" s="15" t="s">
        <v>104</v>
      </c>
      <c r="C79" s="6">
        <v>1945</v>
      </c>
      <c r="D79" s="6">
        <v>1946</v>
      </c>
      <c r="E79" s="6">
        <v>1</v>
      </c>
      <c r="F79" s="6"/>
      <c r="G79" s="6"/>
      <c r="H79" s="6"/>
      <c r="I79" s="7">
        <f>SUM(E79:H79)</f>
        <v>1</v>
      </c>
      <c r="J79" s="8" t="s">
        <v>121</v>
      </c>
      <c r="K79" s="15"/>
    </row>
    <row r="80" spans="1:11" x14ac:dyDescent="0.35">
      <c r="A80" s="6" t="s">
        <v>122</v>
      </c>
      <c r="B80" s="15" t="s">
        <v>123</v>
      </c>
      <c r="C80" s="6">
        <v>1938</v>
      </c>
      <c r="D80" s="6">
        <v>1940</v>
      </c>
      <c r="E80" s="6">
        <v>5</v>
      </c>
      <c r="F80" s="6"/>
      <c r="G80" s="6"/>
      <c r="H80" s="6"/>
      <c r="I80" s="7">
        <f>SUM(E80:H80)</f>
        <v>5</v>
      </c>
      <c r="J80" s="8" t="s">
        <v>124</v>
      </c>
      <c r="K80" s="15"/>
    </row>
    <row r="81" spans="1:11" x14ac:dyDescent="0.35">
      <c r="A81" s="6" t="s">
        <v>125</v>
      </c>
      <c r="B81" s="15" t="s">
        <v>104</v>
      </c>
      <c r="C81" s="6">
        <v>1996</v>
      </c>
      <c r="D81" s="6">
        <v>2010</v>
      </c>
      <c r="E81" s="6">
        <v>2</v>
      </c>
      <c r="F81" s="6"/>
      <c r="G81" s="6"/>
      <c r="H81" s="6"/>
      <c r="I81" s="7">
        <f>SUM(E81:H81)</f>
        <v>2</v>
      </c>
      <c r="J81" s="8" t="s">
        <v>11</v>
      </c>
      <c r="K81" s="15"/>
    </row>
    <row r="82" spans="1:11" x14ac:dyDescent="0.35">
      <c r="A82" s="6" t="s">
        <v>126</v>
      </c>
      <c r="B82" s="15" t="s">
        <v>104</v>
      </c>
      <c r="C82" s="6">
        <v>1996</v>
      </c>
      <c r="D82" s="6">
        <v>2007</v>
      </c>
      <c r="E82" s="6">
        <v>4</v>
      </c>
      <c r="F82" s="6"/>
      <c r="G82" s="6"/>
      <c r="H82" s="6"/>
      <c r="I82" s="7">
        <f>SUM(E82:H82)</f>
        <v>4</v>
      </c>
      <c r="J82" s="8" t="s">
        <v>11</v>
      </c>
      <c r="K82" s="15"/>
    </row>
    <row r="83" spans="1:11" x14ac:dyDescent="0.35">
      <c r="A83" s="6" t="s">
        <v>392</v>
      </c>
      <c r="B83" s="15" t="s">
        <v>390</v>
      </c>
      <c r="C83" s="6">
        <v>1996</v>
      </c>
      <c r="D83" s="6">
        <v>2017</v>
      </c>
      <c r="E83" s="6"/>
      <c r="F83" s="6"/>
      <c r="G83" s="6"/>
      <c r="H83" s="6">
        <v>1</v>
      </c>
      <c r="I83" s="7">
        <f>SUM(E83:H83)</f>
        <v>1</v>
      </c>
      <c r="J83" s="8" t="s">
        <v>393</v>
      </c>
      <c r="K83" s="15"/>
    </row>
    <row r="84" spans="1:11" x14ac:dyDescent="0.35">
      <c r="A84" s="6" t="s">
        <v>127</v>
      </c>
      <c r="B84" s="15" t="s">
        <v>6</v>
      </c>
      <c r="C84" s="6">
        <v>1916</v>
      </c>
      <c r="D84" s="6">
        <v>1917</v>
      </c>
      <c r="E84" s="6">
        <v>1</v>
      </c>
      <c r="F84" s="6"/>
      <c r="G84" s="6"/>
      <c r="H84" s="6"/>
      <c r="I84" s="7">
        <f>SUM(E84:H84)</f>
        <v>1</v>
      </c>
      <c r="J84" s="8" t="s">
        <v>128</v>
      </c>
      <c r="K84" s="15"/>
    </row>
    <row r="85" spans="1:11" x14ac:dyDescent="0.35">
      <c r="A85" s="6" t="s">
        <v>129</v>
      </c>
      <c r="B85" s="15" t="s">
        <v>8</v>
      </c>
      <c r="C85" s="6">
        <v>1923</v>
      </c>
      <c r="D85" s="6">
        <v>1929</v>
      </c>
      <c r="E85" s="6"/>
      <c r="F85" s="6">
        <v>1</v>
      </c>
      <c r="G85" s="6"/>
      <c r="H85" s="6"/>
      <c r="I85" s="7">
        <f>SUM(E85:H85)</f>
        <v>1</v>
      </c>
      <c r="J85" s="8" t="s">
        <v>215</v>
      </c>
      <c r="K85" s="15"/>
    </row>
    <row r="86" spans="1:11" x14ac:dyDescent="0.35">
      <c r="A86" s="6" t="s">
        <v>130</v>
      </c>
      <c r="B86" s="15" t="s">
        <v>131</v>
      </c>
      <c r="C86" s="6">
        <v>1919</v>
      </c>
      <c r="D86" s="6">
        <v>1938</v>
      </c>
      <c r="E86" s="6">
        <v>66</v>
      </c>
      <c r="F86" s="6">
        <v>16</v>
      </c>
      <c r="G86" s="6"/>
      <c r="H86" s="6"/>
      <c r="I86" s="7">
        <f>SUM(E86:H86)</f>
        <v>82</v>
      </c>
      <c r="J86" s="8"/>
      <c r="K86" s="15"/>
    </row>
    <row r="87" spans="1:11" x14ac:dyDescent="0.35">
      <c r="A87" s="6" t="s">
        <v>132</v>
      </c>
      <c r="B87" s="15" t="s">
        <v>14</v>
      </c>
      <c r="C87" s="6">
        <v>1923</v>
      </c>
      <c r="D87" s="6">
        <v>1938</v>
      </c>
      <c r="E87" s="6">
        <v>30</v>
      </c>
      <c r="F87" s="6"/>
      <c r="G87" s="6">
        <v>9</v>
      </c>
      <c r="H87" s="6"/>
      <c r="I87" s="7">
        <f>SUM(E87:H87)</f>
        <v>39</v>
      </c>
      <c r="J87" s="8"/>
      <c r="K87" s="15"/>
    </row>
    <row r="88" spans="1:11" x14ac:dyDescent="0.35">
      <c r="A88" s="6" t="s">
        <v>133</v>
      </c>
      <c r="B88" s="15" t="s">
        <v>6</v>
      </c>
      <c r="C88" s="6">
        <v>1931</v>
      </c>
      <c r="D88" s="6">
        <v>1940</v>
      </c>
      <c r="E88" s="6">
        <v>4</v>
      </c>
      <c r="F88" s="6"/>
      <c r="G88" s="6"/>
      <c r="H88" s="6"/>
      <c r="I88" s="7">
        <f>SUM(E88:H88)</f>
        <v>4</v>
      </c>
      <c r="J88" s="8" t="s">
        <v>134</v>
      </c>
      <c r="K88" s="15"/>
    </row>
    <row r="89" spans="1:11" x14ac:dyDescent="0.35">
      <c r="A89" s="6" t="s">
        <v>135</v>
      </c>
      <c r="B89" s="15" t="s">
        <v>114</v>
      </c>
      <c r="C89" s="6">
        <v>1925</v>
      </c>
      <c r="D89" s="6">
        <v>1940</v>
      </c>
      <c r="E89" s="6">
        <v>70</v>
      </c>
      <c r="F89" s="6">
        <v>23</v>
      </c>
      <c r="G89" s="6">
        <v>25</v>
      </c>
      <c r="H89" s="6"/>
      <c r="I89" s="7">
        <f>SUM(E89:H89)</f>
        <v>118</v>
      </c>
      <c r="J89" s="8" t="s">
        <v>136</v>
      </c>
      <c r="K89" s="15"/>
    </row>
    <row r="90" spans="1:11" x14ac:dyDescent="0.35">
      <c r="A90" s="6" t="s">
        <v>137</v>
      </c>
      <c r="B90" s="15" t="s">
        <v>6</v>
      </c>
      <c r="C90" s="6">
        <v>1928</v>
      </c>
      <c r="D90" s="6">
        <v>1940</v>
      </c>
      <c r="E90" s="6">
        <v>1</v>
      </c>
      <c r="F90" s="6"/>
      <c r="G90" s="6"/>
      <c r="H90" s="6"/>
      <c r="I90" s="7">
        <f>SUM(E90:H90)</f>
        <v>1</v>
      </c>
      <c r="J90" s="8" t="s">
        <v>138</v>
      </c>
      <c r="K90" s="15"/>
    </row>
    <row r="91" spans="1:11" x14ac:dyDescent="0.35">
      <c r="A91" s="6" t="s">
        <v>139</v>
      </c>
      <c r="B91" s="15" t="s">
        <v>8</v>
      </c>
      <c r="C91" s="6">
        <v>1930</v>
      </c>
      <c r="D91" s="6">
        <v>1940</v>
      </c>
      <c r="E91" s="6"/>
      <c r="F91" s="6">
        <v>9</v>
      </c>
      <c r="G91" s="6"/>
      <c r="H91" s="6"/>
      <c r="I91" s="7">
        <f>SUM(E91:H91)</f>
        <v>9</v>
      </c>
      <c r="J91" s="8" t="s">
        <v>140</v>
      </c>
      <c r="K91" s="15"/>
    </row>
    <row r="92" spans="1:11" x14ac:dyDescent="0.35">
      <c r="A92" s="6" t="s">
        <v>141</v>
      </c>
      <c r="B92" s="15" t="s">
        <v>8</v>
      </c>
      <c r="C92" s="6">
        <v>1928</v>
      </c>
      <c r="D92" s="6">
        <v>1940</v>
      </c>
      <c r="E92" s="6"/>
      <c r="F92" s="6">
        <v>28</v>
      </c>
      <c r="G92" s="6"/>
      <c r="H92" s="6"/>
      <c r="I92" s="7">
        <f>SUM(E92:H92)</f>
        <v>28</v>
      </c>
      <c r="J92" s="8"/>
      <c r="K92" s="15"/>
    </row>
    <row r="93" spans="1:11" x14ac:dyDescent="0.35">
      <c r="A93" s="6" t="s">
        <v>142</v>
      </c>
      <c r="B93" s="15" t="s">
        <v>14</v>
      </c>
      <c r="C93" s="6">
        <v>1933</v>
      </c>
      <c r="D93" s="6">
        <v>1940</v>
      </c>
      <c r="E93" s="6">
        <v>19</v>
      </c>
      <c r="F93" s="6"/>
      <c r="G93" s="6">
        <v>13</v>
      </c>
      <c r="H93" s="6"/>
      <c r="I93" s="7">
        <f>SUM(E93:H93)</f>
        <v>32</v>
      </c>
      <c r="J93" s="8" t="s">
        <v>143</v>
      </c>
      <c r="K93" s="15"/>
    </row>
    <row r="94" spans="1:11" x14ac:dyDescent="0.35">
      <c r="A94" s="6" t="s">
        <v>144</v>
      </c>
      <c r="B94" s="15" t="s">
        <v>8</v>
      </c>
      <c r="C94" s="6">
        <v>1939</v>
      </c>
      <c r="D94" s="6">
        <v>1942</v>
      </c>
      <c r="E94" s="6"/>
      <c r="F94" s="6">
        <v>24</v>
      </c>
      <c r="G94" s="6"/>
      <c r="H94" s="6"/>
      <c r="I94" s="7">
        <f>SUM(E94:H94)</f>
        <v>24</v>
      </c>
      <c r="J94" s="8" t="s">
        <v>145</v>
      </c>
      <c r="K94" s="15"/>
    </row>
    <row r="95" spans="1:11" x14ac:dyDescent="0.35">
      <c r="A95" s="6" t="s">
        <v>146</v>
      </c>
      <c r="B95" s="15" t="s">
        <v>8</v>
      </c>
      <c r="C95" s="6">
        <v>1935</v>
      </c>
      <c r="D95" s="6">
        <v>1942</v>
      </c>
      <c r="E95" s="6"/>
      <c r="F95" s="6">
        <v>15</v>
      </c>
      <c r="G95" s="6"/>
      <c r="H95" s="6"/>
      <c r="I95" s="7">
        <f>SUM(E95:H95)</f>
        <v>15</v>
      </c>
      <c r="J95" s="8" t="s">
        <v>147</v>
      </c>
      <c r="K95" s="15"/>
    </row>
    <row r="96" spans="1:11" x14ac:dyDescent="0.35">
      <c r="A96" s="6" t="s">
        <v>148</v>
      </c>
      <c r="B96" s="15" t="s">
        <v>47</v>
      </c>
      <c r="C96" s="6">
        <v>1935</v>
      </c>
      <c r="D96" s="6">
        <v>1940</v>
      </c>
      <c r="E96" s="6"/>
      <c r="F96" s="6"/>
      <c r="G96" s="6">
        <v>10</v>
      </c>
      <c r="H96" s="6"/>
      <c r="I96" s="7">
        <f>SUM(E96:H96)</f>
        <v>10</v>
      </c>
      <c r="J96" s="8"/>
      <c r="K96" s="15"/>
    </row>
    <row r="97" spans="1:11" x14ac:dyDescent="0.35">
      <c r="A97" s="6" t="s">
        <v>149</v>
      </c>
      <c r="B97" s="15" t="s">
        <v>6</v>
      </c>
      <c r="C97" s="6">
        <v>1917</v>
      </c>
      <c r="D97" s="6">
        <v>1921</v>
      </c>
      <c r="E97" s="6">
        <v>10</v>
      </c>
      <c r="F97" s="6"/>
      <c r="G97" s="6"/>
      <c r="H97" s="6"/>
      <c r="I97" s="7">
        <f>SUM(E97:H97)</f>
        <v>10</v>
      </c>
      <c r="J97" s="8"/>
      <c r="K97" s="15"/>
    </row>
    <row r="98" spans="1:11" x14ac:dyDescent="0.35">
      <c r="A98" s="6" t="s">
        <v>150</v>
      </c>
      <c r="B98" s="15" t="s">
        <v>114</v>
      </c>
      <c r="C98" s="6">
        <v>1918</v>
      </c>
      <c r="D98" s="6">
        <v>1938</v>
      </c>
      <c r="E98" s="6">
        <v>28</v>
      </c>
      <c r="F98" s="6">
        <v>20</v>
      </c>
      <c r="G98" s="6">
        <v>6</v>
      </c>
      <c r="H98" s="6"/>
      <c r="I98" s="7">
        <f>SUM(E98:H98)</f>
        <v>54</v>
      </c>
      <c r="J98" s="8" t="s">
        <v>151</v>
      </c>
      <c r="K98" s="15"/>
    </row>
    <row r="99" spans="1:11" x14ac:dyDescent="0.35">
      <c r="A99" s="6" t="s">
        <v>152</v>
      </c>
      <c r="B99" s="15" t="s">
        <v>6</v>
      </c>
      <c r="C99" s="6">
        <v>1934</v>
      </c>
      <c r="D99" s="6">
        <v>1940</v>
      </c>
      <c r="E99" s="6">
        <v>19</v>
      </c>
      <c r="F99" s="6"/>
      <c r="G99" s="6"/>
      <c r="H99" s="6"/>
      <c r="I99" s="7">
        <f>SUM(E99:H99)</f>
        <v>19</v>
      </c>
      <c r="J99" s="8" t="s">
        <v>153</v>
      </c>
      <c r="K99" s="15"/>
    </row>
    <row r="100" spans="1:11" x14ac:dyDescent="0.35">
      <c r="A100" s="6" t="s">
        <v>154</v>
      </c>
      <c r="B100" s="15" t="s">
        <v>6</v>
      </c>
      <c r="C100" s="6">
        <v>1932</v>
      </c>
      <c r="D100" s="6">
        <v>1940</v>
      </c>
      <c r="E100" s="6">
        <v>10</v>
      </c>
      <c r="F100" s="6"/>
      <c r="G100" s="6"/>
      <c r="H100" s="6"/>
      <c r="I100" s="7">
        <f>SUM(E100:H100)</f>
        <v>10</v>
      </c>
      <c r="J100" s="8"/>
      <c r="K100" s="15"/>
    </row>
    <row r="101" spans="1:11" x14ac:dyDescent="0.35">
      <c r="A101" s="6" t="s">
        <v>155</v>
      </c>
      <c r="B101" s="15" t="s">
        <v>156</v>
      </c>
      <c r="C101" s="6">
        <v>1934</v>
      </c>
      <c r="D101" s="6">
        <v>1940</v>
      </c>
      <c r="E101" s="6">
        <v>45</v>
      </c>
      <c r="F101" s="6"/>
      <c r="G101" s="6">
        <v>1</v>
      </c>
      <c r="H101" s="6"/>
      <c r="I101" s="7">
        <f>SUM(E101:H101)</f>
        <v>46</v>
      </c>
      <c r="J101" s="8" t="s">
        <v>157</v>
      </c>
      <c r="K101" s="15"/>
    </row>
    <row r="102" spans="1:11" ht="29" x14ac:dyDescent="0.35">
      <c r="A102" s="6" t="s">
        <v>158</v>
      </c>
      <c r="B102" s="15" t="s">
        <v>434</v>
      </c>
      <c r="C102" s="6">
        <v>1960</v>
      </c>
      <c r="D102" s="6">
        <v>2000</v>
      </c>
      <c r="E102" s="6">
        <v>14</v>
      </c>
      <c r="F102" s="6"/>
      <c r="G102" s="6"/>
      <c r="H102" s="6">
        <v>1</v>
      </c>
      <c r="I102" s="7">
        <f>SUM(E102:H102)</f>
        <v>15</v>
      </c>
      <c r="J102" s="8" t="s">
        <v>388</v>
      </c>
      <c r="K102" s="15"/>
    </row>
    <row r="103" spans="1:11" x14ac:dyDescent="0.35">
      <c r="A103" s="6" t="s">
        <v>389</v>
      </c>
      <c r="B103" s="15" t="s">
        <v>390</v>
      </c>
      <c r="C103" s="6">
        <v>1972</v>
      </c>
      <c r="D103" s="6">
        <v>1996</v>
      </c>
      <c r="E103" s="6"/>
      <c r="F103" s="6"/>
      <c r="G103" s="6"/>
      <c r="H103" s="6">
        <v>1</v>
      </c>
      <c r="I103" s="7">
        <f>SUM(E103:H103)</f>
        <v>1</v>
      </c>
      <c r="J103" s="8" t="s">
        <v>391</v>
      </c>
      <c r="K103" s="15"/>
    </row>
    <row r="104" spans="1:11" x14ac:dyDescent="0.35">
      <c r="A104" s="6" t="s">
        <v>159</v>
      </c>
      <c r="B104" s="15" t="s">
        <v>14</v>
      </c>
      <c r="C104" s="6">
        <v>1934</v>
      </c>
      <c r="D104" s="6">
        <v>1940</v>
      </c>
      <c r="E104" s="6">
        <v>3</v>
      </c>
      <c r="F104" s="6"/>
      <c r="G104" s="6">
        <v>2</v>
      </c>
      <c r="H104" s="6"/>
      <c r="I104" s="7">
        <f>SUM(E104:H104)</f>
        <v>5</v>
      </c>
      <c r="J104" s="8"/>
      <c r="K104" s="15"/>
    </row>
    <row r="105" spans="1:11" ht="29" x14ac:dyDescent="0.35">
      <c r="A105" s="6" t="s">
        <v>160</v>
      </c>
      <c r="B105" s="15" t="s">
        <v>6</v>
      </c>
      <c r="C105" s="6">
        <v>1939</v>
      </c>
      <c r="D105" s="6">
        <v>1940</v>
      </c>
      <c r="E105" s="6">
        <v>60</v>
      </c>
      <c r="F105" s="6"/>
      <c r="G105" s="6"/>
      <c r="H105" s="6"/>
      <c r="I105" s="7">
        <f>SUM(E105:H105)</f>
        <v>60</v>
      </c>
      <c r="J105" s="8" t="s">
        <v>161</v>
      </c>
      <c r="K105" s="15"/>
    </row>
    <row r="106" spans="1:11" x14ac:dyDescent="0.35">
      <c r="A106" s="6" t="s">
        <v>162</v>
      </c>
      <c r="B106" s="15" t="s">
        <v>431</v>
      </c>
      <c r="C106" s="6">
        <v>1950</v>
      </c>
      <c r="D106" s="6">
        <v>1973</v>
      </c>
      <c r="E106" s="6">
        <v>39</v>
      </c>
      <c r="F106" s="6"/>
      <c r="G106" s="6"/>
      <c r="H106" s="6">
        <v>3</v>
      </c>
      <c r="I106" s="7">
        <f>SUM(E106:H106)</f>
        <v>42</v>
      </c>
      <c r="J106" s="8" t="s">
        <v>452</v>
      </c>
      <c r="K106" s="15"/>
    </row>
    <row r="107" spans="1:11" x14ac:dyDescent="0.35">
      <c r="A107" s="17" t="s">
        <v>163</v>
      </c>
      <c r="B107" s="15" t="s">
        <v>104</v>
      </c>
      <c r="C107" s="6">
        <v>1954</v>
      </c>
      <c r="D107" s="6">
        <v>1967</v>
      </c>
      <c r="E107" s="6">
        <v>20</v>
      </c>
      <c r="F107" s="6"/>
      <c r="G107" s="6"/>
      <c r="H107" s="6"/>
      <c r="I107" s="7">
        <f>SUM(E107:H107)</f>
        <v>20</v>
      </c>
      <c r="J107" s="8"/>
      <c r="K107" s="15"/>
    </row>
    <row r="108" spans="1:11" x14ac:dyDescent="0.35">
      <c r="A108" s="6" t="s">
        <v>164</v>
      </c>
      <c r="B108" s="15" t="s">
        <v>6</v>
      </c>
      <c r="C108" s="6">
        <v>1923</v>
      </c>
      <c r="D108" s="6">
        <v>1935</v>
      </c>
      <c r="E108" s="6">
        <v>15</v>
      </c>
      <c r="F108" s="6"/>
      <c r="G108" s="6"/>
      <c r="H108" s="6"/>
      <c r="I108" s="7">
        <f>SUM(E108:H108)</f>
        <v>15</v>
      </c>
      <c r="J108" s="8"/>
      <c r="K108" s="15"/>
    </row>
    <row r="109" spans="1:11" x14ac:dyDescent="0.35">
      <c r="A109" s="6" t="s">
        <v>165</v>
      </c>
      <c r="B109" s="15" t="s">
        <v>8</v>
      </c>
      <c r="C109" s="6">
        <v>1924</v>
      </c>
      <c r="D109" s="6">
        <v>1939</v>
      </c>
      <c r="E109" s="6"/>
      <c r="F109" s="6">
        <v>19</v>
      </c>
      <c r="G109" s="6"/>
      <c r="H109" s="6"/>
      <c r="I109" s="7">
        <f>SUM(E109:H109)</f>
        <v>19</v>
      </c>
      <c r="J109" s="8"/>
      <c r="K109" s="15"/>
    </row>
    <row r="110" spans="1:11" ht="29" x14ac:dyDescent="0.35">
      <c r="A110" s="6" t="s">
        <v>166</v>
      </c>
      <c r="B110" s="15" t="s">
        <v>14</v>
      </c>
      <c r="C110" s="6">
        <v>1924</v>
      </c>
      <c r="D110" s="6">
        <v>1940</v>
      </c>
      <c r="E110" s="6">
        <v>30</v>
      </c>
      <c r="F110" s="6"/>
      <c r="G110" s="6">
        <v>1</v>
      </c>
      <c r="H110" s="6"/>
      <c r="I110" s="7">
        <f>SUM(E110:H110)</f>
        <v>31</v>
      </c>
      <c r="J110" s="8" t="s">
        <v>167</v>
      </c>
      <c r="K110" s="15"/>
    </row>
    <row r="111" spans="1:11" x14ac:dyDescent="0.35">
      <c r="A111" s="6" t="s">
        <v>168</v>
      </c>
      <c r="B111" s="15" t="s">
        <v>169</v>
      </c>
      <c r="C111" s="6">
        <v>1939</v>
      </c>
      <c r="D111" s="6">
        <v>1940</v>
      </c>
      <c r="E111" s="6">
        <v>19</v>
      </c>
      <c r="F111" s="6">
        <v>15</v>
      </c>
      <c r="G111" s="6"/>
      <c r="H111" s="6"/>
      <c r="I111" s="7">
        <f>SUM(E111:H111)</f>
        <v>34</v>
      </c>
      <c r="J111" s="8" t="s">
        <v>170</v>
      </c>
      <c r="K111" s="15"/>
    </row>
    <row r="112" spans="1:11" ht="30.5" customHeight="1" x14ac:dyDescent="0.35">
      <c r="A112" s="6" t="s">
        <v>171</v>
      </c>
      <c r="B112" s="15" t="s">
        <v>8</v>
      </c>
      <c r="C112" s="6">
        <v>1924</v>
      </c>
      <c r="D112" s="6">
        <v>1942</v>
      </c>
      <c r="E112" s="6">
        <v>24</v>
      </c>
      <c r="F112" s="6"/>
      <c r="G112" s="6"/>
      <c r="H112" s="6"/>
      <c r="I112" s="7">
        <f>SUM(E112:H112)</f>
        <v>24</v>
      </c>
      <c r="J112" s="8" t="s">
        <v>172</v>
      </c>
      <c r="K112" s="15"/>
    </row>
    <row r="113" spans="1:11" ht="29" x14ac:dyDescent="0.35">
      <c r="A113" s="6" t="s">
        <v>173</v>
      </c>
      <c r="B113" s="15" t="s">
        <v>123</v>
      </c>
      <c r="C113" s="6">
        <v>1937</v>
      </c>
      <c r="D113" s="6">
        <v>1940</v>
      </c>
      <c r="E113" s="6">
        <v>16</v>
      </c>
      <c r="F113" s="6"/>
      <c r="G113" s="6"/>
      <c r="H113" s="6"/>
      <c r="I113" s="7">
        <f>SUM(E113:H113)</f>
        <v>16</v>
      </c>
      <c r="J113" s="8" t="s">
        <v>174</v>
      </c>
      <c r="K113" s="15"/>
    </row>
    <row r="114" spans="1:11" ht="32.5" customHeight="1" x14ac:dyDescent="0.35">
      <c r="A114" s="6" t="s">
        <v>175</v>
      </c>
      <c r="B114" s="15" t="s">
        <v>8</v>
      </c>
      <c r="C114" s="6">
        <v>1939</v>
      </c>
      <c r="D114" s="6">
        <v>1941</v>
      </c>
      <c r="E114" s="6"/>
      <c r="F114" s="6">
        <v>31</v>
      </c>
      <c r="G114" s="6"/>
      <c r="H114" s="6"/>
      <c r="I114" s="7">
        <f>SUM(E114:H114)</f>
        <v>31</v>
      </c>
      <c r="J114" s="8" t="s">
        <v>176</v>
      </c>
      <c r="K114" s="15"/>
    </row>
    <row r="115" spans="1:11" x14ac:dyDescent="0.35">
      <c r="A115" s="6" t="s">
        <v>177</v>
      </c>
      <c r="B115" s="15" t="s">
        <v>8</v>
      </c>
      <c r="C115" s="6">
        <v>1916</v>
      </c>
      <c r="D115" s="6">
        <v>1919</v>
      </c>
      <c r="E115" s="6"/>
      <c r="F115" s="6">
        <v>1</v>
      </c>
      <c r="G115" s="6"/>
      <c r="H115" s="6"/>
      <c r="I115" s="7">
        <f>SUM(E115:H115)</f>
        <v>1</v>
      </c>
      <c r="J115" s="8"/>
      <c r="K115" s="15"/>
    </row>
    <row r="116" spans="1:11" x14ac:dyDescent="0.35">
      <c r="A116" s="6" t="s">
        <v>178</v>
      </c>
      <c r="B116" s="15" t="s">
        <v>8</v>
      </c>
      <c r="C116" s="6">
        <v>1915</v>
      </c>
      <c r="D116" s="6">
        <v>1918</v>
      </c>
      <c r="E116" s="6"/>
      <c r="F116" s="6">
        <v>1</v>
      </c>
      <c r="G116" s="6"/>
      <c r="H116" s="6"/>
      <c r="I116" s="7">
        <f>SUM(E116:H116)</f>
        <v>1</v>
      </c>
      <c r="J116" s="8"/>
      <c r="K116" s="15"/>
    </row>
    <row r="117" spans="1:11" x14ac:dyDescent="0.35">
      <c r="A117" s="6" t="s">
        <v>179</v>
      </c>
      <c r="B117" s="15" t="s">
        <v>8</v>
      </c>
      <c r="C117" s="6">
        <v>1917</v>
      </c>
      <c r="D117" s="6">
        <v>1925</v>
      </c>
      <c r="E117" s="6"/>
      <c r="F117" s="6">
        <v>21</v>
      </c>
      <c r="G117" s="6"/>
      <c r="H117" s="6"/>
      <c r="I117" s="7">
        <f>SUM(E117:H117)</f>
        <v>21</v>
      </c>
      <c r="J117" s="8" t="s">
        <v>180</v>
      </c>
      <c r="K117" s="15"/>
    </row>
    <row r="118" spans="1:11" x14ac:dyDescent="0.35">
      <c r="A118" s="6" t="s">
        <v>181</v>
      </c>
      <c r="B118" s="15" t="s">
        <v>8</v>
      </c>
      <c r="C118" s="6">
        <v>1918</v>
      </c>
      <c r="D118" s="6">
        <v>1923</v>
      </c>
      <c r="E118" s="6"/>
      <c r="F118" s="6">
        <v>3</v>
      </c>
      <c r="G118" s="6"/>
      <c r="H118" s="6"/>
      <c r="I118" s="7">
        <f>SUM(E118:H118)</f>
        <v>3</v>
      </c>
      <c r="J118" s="8" t="s">
        <v>182</v>
      </c>
      <c r="K118" s="15"/>
    </row>
    <row r="119" spans="1:11" x14ac:dyDescent="0.35">
      <c r="A119" s="6" t="s">
        <v>183</v>
      </c>
      <c r="B119" s="15" t="s">
        <v>6</v>
      </c>
      <c r="C119" s="6">
        <v>1918</v>
      </c>
      <c r="D119" s="6">
        <v>1918</v>
      </c>
      <c r="E119" s="6">
        <v>1</v>
      </c>
      <c r="F119" s="6"/>
      <c r="G119" s="6"/>
      <c r="H119" s="6"/>
      <c r="I119" s="7">
        <f>SUM(E119:H119)</f>
        <v>1</v>
      </c>
      <c r="J119" s="8" t="s">
        <v>182</v>
      </c>
      <c r="K119" s="15"/>
    </row>
    <row r="120" spans="1:11" ht="29" x14ac:dyDescent="0.35">
      <c r="A120" s="6" t="s">
        <v>184</v>
      </c>
      <c r="B120" s="15" t="s">
        <v>84</v>
      </c>
      <c r="C120" s="6">
        <v>1948</v>
      </c>
      <c r="D120" s="6">
        <v>1961</v>
      </c>
      <c r="E120" s="6">
        <v>266</v>
      </c>
      <c r="F120" s="6"/>
      <c r="G120" s="6"/>
      <c r="H120" s="6"/>
      <c r="I120" s="7">
        <f>SUM(E120:H120)</f>
        <v>266</v>
      </c>
      <c r="J120" s="8" t="s">
        <v>185</v>
      </c>
      <c r="K120" s="15"/>
    </row>
    <row r="121" spans="1:11" x14ac:dyDescent="0.35">
      <c r="A121" s="6" t="s">
        <v>186</v>
      </c>
      <c r="B121" s="15" t="s">
        <v>104</v>
      </c>
      <c r="C121" s="6">
        <v>1996</v>
      </c>
      <c r="D121" s="10" t="s">
        <v>26</v>
      </c>
      <c r="E121" s="6">
        <v>2</v>
      </c>
      <c r="F121" s="6"/>
      <c r="G121" s="6"/>
      <c r="H121" s="6"/>
      <c r="I121" s="7">
        <f>SUM(E121:H121)</f>
        <v>2</v>
      </c>
      <c r="J121" s="8" t="s">
        <v>187</v>
      </c>
      <c r="K121" s="15"/>
    </row>
    <row r="122" spans="1:11" x14ac:dyDescent="0.35">
      <c r="A122" s="6" t="s">
        <v>194</v>
      </c>
      <c r="B122" s="15" t="s">
        <v>6</v>
      </c>
      <c r="C122" s="6">
        <v>1917</v>
      </c>
      <c r="D122" s="10">
        <v>1921</v>
      </c>
      <c r="E122" s="6">
        <v>1</v>
      </c>
      <c r="F122" s="6"/>
      <c r="G122" s="6"/>
      <c r="H122" s="6"/>
      <c r="I122" s="7">
        <f>SUM(E122:H122)</f>
        <v>1</v>
      </c>
      <c r="J122" s="8" t="s">
        <v>182</v>
      </c>
      <c r="K122" s="15"/>
    </row>
    <row r="123" spans="1:11" x14ac:dyDescent="0.35">
      <c r="A123" s="6" t="s">
        <v>188</v>
      </c>
      <c r="B123" s="15" t="s">
        <v>8</v>
      </c>
      <c r="C123" s="6">
        <v>1917</v>
      </c>
      <c r="D123" s="6">
        <v>1919</v>
      </c>
      <c r="E123" s="6"/>
      <c r="F123" s="6">
        <v>1</v>
      </c>
      <c r="G123" s="6"/>
      <c r="H123" s="6"/>
      <c r="I123" s="7">
        <f>SUM(E123:H123)</f>
        <v>1</v>
      </c>
      <c r="J123" s="8" t="s">
        <v>189</v>
      </c>
      <c r="K123" s="15"/>
    </row>
    <row r="124" spans="1:11" ht="29" x14ac:dyDescent="0.35">
      <c r="A124" s="6" t="s">
        <v>190</v>
      </c>
      <c r="B124" s="15" t="s">
        <v>104</v>
      </c>
      <c r="C124" s="6">
        <v>1979</v>
      </c>
      <c r="D124" s="6">
        <v>2024</v>
      </c>
      <c r="E124" s="6">
        <v>213</v>
      </c>
      <c r="F124" s="6"/>
      <c r="G124" s="6"/>
      <c r="H124" s="6"/>
      <c r="I124" s="7">
        <f>SUM(E124:H124)</f>
        <v>213</v>
      </c>
      <c r="J124" s="8" t="s">
        <v>191</v>
      </c>
      <c r="K124" s="15"/>
    </row>
    <row r="125" spans="1:11" x14ac:dyDescent="0.35">
      <c r="A125" s="6" t="s">
        <v>192</v>
      </c>
      <c r="B125" s="15" t="s">
        <v>104</v>
      </c>
      <c r="C125" s="6">
        <v>2022</v>
      </c>
      <c r="D125" s="10" t="s">
        <v>26</v>
      </c>
      <c r="E125" s="6">
        <v>8</v>
      </c>
      <c r="F125" s="6"/>
      <c r="G125" s="6"/>
      <c r="H125" s="6"/>
      <c r="I125" s="7">
        <f>SUM(E125:H125)</f>
        <v>8</v>
      </c>
      <c r="J125" s="8" t="s">
        <v>193</v>
      </c>
      <c r="K125" s="15"/>
    </row>
    <row r="126" spans="1:11" ht="29" x14ac:dyDescent="0.35">
      <c r="A126" s="6" t="s">
        <v>195</v>
      </c>
      <c r="B126" s="15" t="s">
        <v>8</v>
      </c>
      <c r="C126" s="6">
        <v>1960</v>
      </c>
      <c r="D126" s="6">
        <v>1975</v>
      </c>
      <c r="E126" s="6"/>
      <c r="F126" s="6">
        <v>45</v>
      </c>
      <c r="G126" s="6"/>
      <c r="H126" s="6"/>
      <c r="I126" s="7">
        <f>SUM(E126:H126)</f>
        <v>45</v>
      </c>
      <c r="J126" s="8" t="s">
        <v>197</v>
      </c>
      <c r="K126" s="15"/>
    </row>
    <row r="127" spans="1:11" ht="29" x14ac:dyDescent="0.35">
      <c r="A127" s="6" t="s">
        <v>196</v>
      </c>
      <c r="B127" s="15" t="s">
        <v>8</v>
      </c>
      <c r="C127" s="6">
        <v>1954</v>
      </c>
      <c r="D127" s="6">
        <v>1961</v>
      </c>
      <c r="E127" s="6"/>
      <c r="F127" s="6">
        <v>78</v>
      </c>
      <c r="G127" s="6"/>
      <c r="H127" s="6"/>
      <c r="I127" s="7">
        <f>SUM(E127:H127)</f>
        <v>78</v>
      </c>
      <c r="J127" s="8" t="s">
        <v>198</v>
      </c>
      <c r="K127" s="15"/>
    </row>
    <row r="128" spans="1:11" x14ac:dyDescent="0.35">
      <c r="A128" s="6" t="s">
        <v>199</v>
      </c>
      <c r="B128" s="15" t="s">
        <v>6</v>
      </c>
      <c r="C128" s="6">
        <v>1918</v>
      </c>
      <c r="D128" s="6">
        <v>1925</v>
      </c>
      <c r="E128" s="6">
        <v>2</v>
      </c>
      <c r="F128" s="6"/>
      <c r="G128" s="6"/>
      <c r="H128" s="6"/>
      <c r="I128" s="7">
        <f>SUM(E128:H128)</f>
        <v>2</v>
      </c>
      <c r="J128" s="8" t="s">
        <v>182</v>
      </c>
      <c r="K128" s="15"/>
    </row>
    <row r="129" spans="1:11" x14ac:dyDescent="0.35">
      <c r="A129" s="6" t="s">
        <v>200</v>
      </c>
      <c r="B129" s="15" t="s">
        <v>6</v>
      </c>
      <c r="C129" s="6">
        <v>1918</v>
      </c>
      <c r="D129" s="6">
        <v>1925</v>
      </c>
      <c r="E129" s="6">
        <v>1</v>
      </c>
      <c r="F129" s="6"/>
      <c r="G129" s="6"/>
      <c r="H129" s="6"/>
      <c r="I129" s="7">
        <f>SUM(E129:H129)</f>
        <v>1</v>
      </c>
      <c r="J129" s="8" t="s">
        <v>182</v>
      </c>
      <c r="K129" s="15"/>
    </row>
    <row r="130" spans="1:11" x14ac:dyDescent="0.35">
      <c r="A130" s="6" t="s">
        <v>201</v>
      </c>
      <c r="B130" s="15" t="s">
        <v>6</v>
      </c>
      <c r="C130" s="6">
        <v>1918</v>
      </c>
      <c r="D130" s="6">
        <v>1920</v>
      </c>
      <c r="E130" s="6">
        <v>1</v>
      </c>
      <c r="F130" s="6"/>
      <c r="G130" s="6"/>
      <c r="H130" s="6"/>
      <c r="I130" s="7">
        <f>SUM(E130:H130)</f>
        <v>1</v>
      </c>
      <c r="J130" s="8" t="s">
        <v>182</v>
      </c>
      <c r="K130" s="15"/>
    </row>
    <row r="131" spans="1:11" x14ac:dyDescent="0.35">
      <c r="A131" s="6" t="s">
        <v>202</v>
      </c>
      <c r="B131" s="15" t="s">
        <v>6</v>
      </c>
      <c r="C131" s="6">
        <v>1918</v>
      </c>
      <c r="D131" s="6">
        <v>1919</v>
      </c>
      <c r="E131" s="6">
        <v>1</v>
      </c>
      <c r="F131" s="6"/>
      <c r="G131" s="6"/>
      <c r="H131" s="6"/>
      <c r="I131" s="7">
        <f>SUM(E131:H131)</f>
        <v>1</v>
      </c>
      <c r="J131" s="8" t="s">
        <v>182</v>
      </c>
      <c r="K131" s="15"/>
    </row>
    <row r="132" spans="1:11" x14ac:dyDescent="0.35">
      <c r="A132" s="6" t="s">
        <v>203</v>
      </c>
      <c r="B132" s="15" t="s">
        <v>8</v>
      </c>
      <c r="C132" s="6">
        <v>1918</v>
      </c>
      <c r="D132" s="6">
        <v>1919</v>
      </c>
      <c r="E132" s="6"/>
      <c r="F132" s="6">
        <v>1</v>
      </c>
      <c r="G132" s="6"/>
      <c r="H132" s="6"/>
      <c r="I132" s="7">
        <f>SUM(E132:H132)</f>
        <v>1</v>
      </c>
      <c r="J132" s="8" t="s">
        <v>207</v>
      </c>
      <c r="K132" s="15"/>
    </row>
    <row r="133" spans="1:11" x14ac:dyDescent="0.35">
      <c r="A133" s="6" t="s">
        <v>208</v>
      </c>
      <c r="B133" s="15" t="s">
        <v>8</v>
      </c>
      <c r="C133" s="6">
        <v>1918</v>
      </c>
      <c r="D133" s="6">
        <v>1919</v>
      </c>
      <c r="E133" s="6"/>
      <c r="F133" s="6">
        <v>2</v>
      </c>
      <c r="G133" s="6"/>
      <c r="H133" s="6"/>
      <c r="I133" s="7">
        <f>SUM(E133:H133)</f>
        <v>2</v>
      </c>
      <c r="J133" s="8" t="s">
        <v>182</v>
      </c>
      <c r="K133" s="15"/>
    </row>
    <row r="134" spans="1:11" x14ac:dyDescent="0.35">
      <c r="A134" s="6" t="s">
        <v>438</v>
      </c>
      <c r="B134" s="15" t="s">
        <v>436</v>
      </c>
      <c r="C134" s="6">
        <v>1969</v>
      </c>
      <c r="D134" s="6">
        <v>1987</v>
      </c>
      <c r="E134" s="6"/>
      <c r="F134" s="6"/>
      <c r="G134" s="6"/>
      <c r="H134" s="6">
        <v>3</v>
      </c>
      <c r="I134" s="7">
        <f>SUM(E134:H134)</f>
        <v>3</v>
      </c>
      <c r="J134" s="8"/>
      <c r="K134" s="15"/>
    </row>
    <row r="135" spans="1:11" ht="29" x14ac:dyDescent="0.35">
      <c r="A135" s="6" t="s">
        <v>209</v>
      </c>
      <c r="B135" s="15" t="s">
        <v>104</v>
      </c>
      <c r="C135" s="6">
        <v>1956</v>
      </c>
      <c r="D135" s="6">
        <v>1968</v>
      </c>
      <c r="E135" s="6">
        <v>209</v>
      </c>
      <c r="F135" s="6"/>
      <c r="G135" s="6"/>
      <c r="H135" s="6"/>
      <c r="I135" s="7">
        <f>SUM(E135:H135)</f>
        <v>209</v>
      </c>
      <c r="J135" s="8" t="s">
        <v>210</v>
      </c>
      <c r="K135" s="15"/>
    </row>
    <row r="136" spans="1:11" ht="29" x14ac:dyDescent="0.35">
      <c r="A136" s="6" t="s">
        <v>211</v>
      </c>
      <c r="B136" s="15" t="s">
        <v>47</v>
      </c>
      <c r="C136" s="6">
        <v>1942</v>
      </c>
      <c r="D136" s="6">
        <v>1942</v>
      </c>
      <c r="E136" s="6"/>
      <c r="F136" s="6"/>
      <c r="G136" s="6">
        <v>12</v>
      </c>
      <c r="H136" s="6"/>
      <c r="I136" s="7">
        <f>SUM(E136:H136)</f>
        <v>12</v>
      </c>
      <c r="J136" s="8" t="s">
        <v>212</v>
      </c>
      <c r="K136" s="15"/>
    </row>
    <row r="137" spans="1:11" x14ac:dyDescent="0.35">
      <c r="A137" s="6" t="s">
        <v>213</v>
      </c>
      <c r="B137" s="15" t="s">
        <v>8</v>
      </c>
      <c r="C137" s="6">
        <v>1948</v>
      </c>
      <c r="D137" s="6">
        <v>1954</v>
      </c>
      <c r="E137" s="6"/>
      <c r="F137" s="6">
        <v>48</v>
      </c>
      <c r="G137" s="6"/>
      <c r="H137" s="6"/>
      <c r="I137" s="7">
        <f>SUM(E137:H137)</f>
        <v>48</v>
      </c>
      <c r="J137" s="8" t="s">
        <v>214</v>
      </c>
      <c r="K137" s="15"/>
    </row>
    <row r="138" spans="1:11" x14ac:dyDescent="0.35">
      <c r="A138" s="6" t="s">
        <v>216</v>
      </c>
      <c r="B138" s="15" t="s">
        <v>8</v>
      </c>
      <c r="C138" s="6">
        <v>1954</v>
      </c>
      <c r="D138" s="6">
        <v>1964</v>
      </c>
      <c r="E138" s="6"/>
      <c r="F138" s="6">
        <v>21</v>
      </c>
      <c r="G138" s="6"/>
      <c r="H138" s="6"/>
      <c r="I138" s="7">
        <f>SUM(E138:H138)</f>
        <v>21</v>
      </c>
      <c r="J138" s="8" t="s">
        <v>217</v>
      </c>
      <c r="K138" s="15"/>
    </row>
    <row r="139" spans="1:11" x14ac:dyDescent="0.35">
      <c r="A139" s="6" t="s">
        <v>218</v>
      </c>
      <c r="B139" s="15" t="s">
        <v>104</v>
      </c>
      <c r="C139" s="6">
        <v>1955</v>
      </c>
      <c r="D139" s="6">
        <v>1965</v>
      </c>
      <c r="E139" s="6">
        <v>36</v>
      </c>
      <c r="F139" s="6"/>
      <c r="G139" s="6"/>
      <c r="H139" s="6"/>
      <c r="I139" s="7">
        <f>SUM(E139:H139)</f>
        <v>36</v>
      </c>
      <c r="J139" s="8" t="s">
        <v>219</v>
      </c>
      <c r="K139" s="15"/>
    </row>
    <row r="140" spans="1:11" x14ac:dyDescent="0.35">
      <c r="A140" s="6" t="s">
        <v>435</v>
      </c>
      <c r="B140" s="15" t="s">
        <v>436</v>
      </c>
      <c r="C140" s="6">
        <v>1946</v>
      </c>
      <c r="D140" s="6">
        <v>1950</v>
      </c>
      <c r="E140" s="6"/>
      <c r="F140" s="6"/>
      <c r="G140" s="6"/>
      <c r="H140" s="6">
        <v>3</v>
      </c>
      <c r="I140" s="7">
        <f>SUM(E140:H140)</f>
        <v>3</v>
      </c>
      <c r="J140" s="8" t="s">
        <v>437</v>
      </c>
      <c r="K140" s="15"/>
    </row>
    <row r="141" spans="1:11" x14ac:dyDescent="0.35">
      <c r="A141" s="6" t="s">
        <v>220</v>
      </c>
      <c r="B141" s="15" t="s">
        <v>47</v>
      </c>
      <c r="C141" s="6">
        <v>1926</v>
      </c>
      <c r="D141" s="6">
        <v>1930</v>
      </c>
      <c r="E141" s="6"/>
      <c r="F141" s="6"/>
      <c r="G141" s="6">
        <v>4</v>
      </c>
      <c r="H141" s="6"/>
      <c r="I141" s="7">
        <f>SUM(E141:H141)</f>
        <v>4</v>
      </c>
      <c r="J141" s="8"/>
      <c r="K141" s="15"/>
    </row>
    <row r="142" spans="1:11" x14ac:dyDescent="0.35">
      <c r="A142" s="6" t="s">
        <v>221</v>
      </c>
      <c r="B142" s="15" t="s">
        <v>123</v>
      </c>
      <c r="C142" s="6">
        <v>1939</v>
      </c>
      <c r="D142" s="6">
        <v>1945</v>
      </c>
      <c r="E142" s="6">
        <v>3</v>
      </c>
      <c r="F142" s="6"/>
      <c r="G142" s="6"/>
      <c r="H142" s="6"/>
      <c r="I142" s="7">
        <f>SUM(E142:H142)</f>
        <v>3</v>
      </c>
      <c r="J142" s="8" t="s">
        <v>222</v>
      </c>
      <c r="K142" s="15"/>
    </row>
    <row r="143" spans="1:11" x14ac:dyDescent="0.35">
      <c r="A143" s="6" t="s">
        <v>223</v>
      </c>
      <c r="B143" s="15" t="s">
        <v>123</v>
      </c>
      <c r="C143" s="6">
        <v>1935</v>
      </c>
      <c r="D143" s="6">
        <v>1940</v>
      </c>
      <c r="E143" s="6">
        <v>1</v>
      </c>
      <c r="F143" s="6"/>
      <c r="G143" s="6"/>
      <c r="H143" s="6"/>
      <c r="I143" s="7">
        <f>SUM(E143:H143)</f>
        <v>1</v>
      </c>
      <c r="J143" s="8" t="s">
        <v>224</v>
      </c>
      <c r="K143" s="15"/>
    </row>
    <row r="144" spans="1:11" ht="29" x14ac:dyDescent="0.35">
      <c r="A144" s="6" t="s">
        <v>225</v>
      </c>
      <c r="B144" s="15" t="s">
        <v>226</v>
      </c>
      <c r="C144" s="6">
        <v>1935</v>
      </c>
      <c r="D144" s="6">
        <v>1942</v>
      </c>
      <c r="E144" s="6">
        <v>54</v>
      </c>
      <c r="F144" s="6">
        <v>17</v>
      </c>
      <c r="G144" s="6">
        <v>60</v>
      </c>
      <c r="H144" s="6"/>
      <c r="I144" s="7">
        <f>SUM(E144:H144)</f>
        <v>131</v>
      </c>
      <c r="J144" s="8" t="s">
        <v>227</v>
      </c>
      <c r="K144" s="15"/>
    </row>
    <row r="145" spans="1:11" x14ac:dyDescent="0.35">
      <c r="A145" s="6" t="s">
        <v>228</v>
      </c>
      <c r="B145" s="15" t="s">
        <v>123</v>
      </c>
      <c r="C145" s="6">
        <v>1940</v>
      </c>
      <c r="D145" s="6">
        <v>1940</v>
      </c>
      <c r="E145" s="6">
        <v>4</v>
      </c>
      <c r="F145" s="6"/>
      <c r="G145" s="6"/>
      <c r="H145" s="6"/>
      <c r="I145" s="7">
        <f>SUM(E145:H145)</f>
        <v>4</v>
      </c>
      <c r="J145" s="8" t="s">
        <v>229</v>
      </c>
      <c r="K145" s="15"/>
    </row>
    <row r="146" spans="1:11" x14ac:dyDescent="0.35">
      <c r="A146" s="6" t="s">
        <v>230</v>
      </c>
      <c r="B146" s="15" t="s">
        <v>123</v>
      </c>
      <c r="C146" s="6">
        <v>1940</v>
      </c>
      <c r="D146" s="6">
        <v>1940</v>
      </c>
      <c r="E146" s="6">
        <v>10</v>
      </c>
      <c r="F146" s="6"/>
      <c r="G146" s="6"/>
      <c r="H146" s="6"/>
      <c r="I146" s="7">
        <f>SUM(E146:H146)</f>
        <v>10</v>
      </c>
      <c r="J146" s="8" t="s">
        <v>231</v>
      </c>
      <c r="K146" s="15"/>
    </row>
    <row r="147" spans="1:11" ht="58" x14ac:dyDescent="0.35">
      <c r="A147" s="6" t="s">
        <v>232</v>
      </c>
      <c r="B147" s="15" t="s">
        <v>156</v>
      </c>
      <c r="C147" s="6">
        <v>1941</v>
      </c>
      <c r="D147" s="6">
        <v>1952</v>
      </c>
      <c r="E147" s="6">
        <v>16</v>
      </c>
      <c r="F147" s="6"/>
      <c r="G147" s="6">
        <v>25</v>
      </c>
      <c r="H147" s="6"/>
      <c r="I147" s="7">
        <f>SUM(E147:H147)</f>
        <v>41</v>
      </c>
      <c r="J147" s="8" t="s">
        <v>233</v>
      </c>
      <c r="K147" s="15"/>
    </row>
    <row r="148" spans="1:11" x14ac:dyDescent="0.35">
      <c r="A148" s="6" t="s">
        <v>234</v>
      </c>
      <c r="B148" s="15" t="s">
        <v>104</v>
      </c>
      <c r="C148" s="6">
        <v>1994</v>
      </c>
      <c r="D148" s="10" t="s">
        <v>26</v>
      </c>
      <c r="E148" s="6">
        <v>4</v>
      </c>
      <c r="F148" s="6"/>
      <c r="G148" s="6"/>
      <c r="H148" s="6"/>
      <c r="I148" s="7">
        <f>SUM(E148:H148)</f>
        <v>4</v>
      </c>
      <c r="J148" s="8" t="s">
        <v>235</v>
      </c>
      <c r="K148" s="15"/>
    </row>
    <row r="149" spans="1:11" x14ac:dyDescent="0.35">
      <c r="A149" s="6" t="s">
        <v>236</v>
      </c>
      <c r="B149" s="15" t="s">
        <v>104</v>
      </c>
      <c r="C149" s="6">
        <v>2013</v>
      </c>
      <c r="D149" s="10" t="s">
        <v>26</v>
      </c>
      <c r="E149" s="6">
        <v>58</v>
      </c>
      <c r="F149" s="6"/>
      <c r="G149" s="6"/>
      <c r="H149" s="6"/>
      <c r="I149" s="7">
        <f>SUM(E149:H149)</f>
        <v>58</v>
      </c>
      <c r="J149" s="8"/>
      <c r="K149" s="15"/>
    </row>
    <row r="150" spans="1:11" ht="29" x14ac:dyDescent="0.35">
      <c r="A150" s="6" t="s">
        <v>237</v>
      </c>
      <c r="B150" s="15" t="s">
        <v>104</v>
      </c>
      <c r="C150" s="6">
        <v>1962</v>
      </c>
      <c r="D150" s="6">
        <v>1984</v>
      </c>
      <c r="E150" s="6">
        <v>138</v>
      </c>
      <c r="F150" s="6"/>
      <c r="G150" s="6"/>
      <c r="H150" s="6"/>
      <c r="I150" s="7">
        <f>SUM(E150:H150)</f>
        <v>138</v>
      </c>
      <c r="J150" s="8" t="s">
        <v>238</v>
      </c>
      <c r="K150" s="15"/>
    </row>
    <row r="151" spans="1:11" x14ac:dyDescent="0.35">
      <c r="A151" s="6" t="s">
        <v>239</v>
      </c>
      <c r="B151" s="15" t="s">
        <v>8</v>
      </c>
      <c r="C151" s="6">
        <v>1951</v>
      </c>
      <c r="D151" s="6">
        <v>1955</v>
      </c>
      <c r="E151" s="6"/>
      <c r="F151" s="6">
        <v>18</v>
      </c>
      <c r="G151" s="6"/>
      <c r="H151" s="6"/>
      <c r="I151" s="7">
        <f>SUM(E151:H151)</f>
        <v>18</v>
      </c>
      <c r="J151" s="8" t="s">
        <v>240</v>
      </c>
      <c r="K151" s="15"/>
    </row>
    <row r="152" spans="1:11" ht="29" x14ac:dyDescent="0.35">
      <c r="A152" s="6" t="s">
        <v>241</v>
      </c>
      <c r="B152" s="15" t="s">
        <v>242</v>
      </c>
      <c r="C152" s="6">
        <v>1941</v>
      </c>
      <c r="D152" s="6">
        <v>1950</v>
      </c>
      <c r="E152" s="6">
        <v>2</v>
      </c>
      <c r="F152" s="6">
        <v>63</v>
      </c>
      <c r="G152" s="6"/>
      <c r="H152" s="6"/>
      <c r="I152" s="7">
        <f>SUM(E152:H152)</f>
        <v>65</v>
      </c>
      <c r="J152" s="8" t="s">
        <v>243</v>
      </c>
      <c r="K152" s="15"/>
    </row>
    <row r="153" spans="1:11" ht="29" x14ac:dyDescent="0.35">
      <c r="A153" s="6" t="s">
        <v>244</v>
      </c>
      <c r="B153" s="15" t="s">
        <v>47</v>
      </c>
      <c r="C153" s="6">
        <v>1940</v>
      </c>
      <c r="D153" s="6">
        <v>1947</v>
      </c>
      <c r="E153" s="6"/>
      <c r="F153" s="6"/>
      <c r="G153" s="6">
        <v>26</v>
      </c>
      <c r="H153" s="6"/>
      <c r="I153" s="7">
        <f>SUM(E153:H153)</f>
        <v>26</v>
      </c>
      <c r="J153" s="8" t="s">
        <v>245</v>
      </c>
      <c r="K153" s="15"/>
    </row>
    <row r="154" spans="1:11" ht="29" x14ac:dyDescent="0.35">
      <c r="A154" s="6" t="s">
        <v>246</v>
      </c>
      <c r="B154" s="15" t="s">
        <v>8</v>
      </c>
      <c r="C154" s="6">
        <v>1958</v>
      </c>
      <c r="D154" s="6">
        <v>1982</v>
      </c>
      <c r="E154" s="6"/>
      <c r="F154" s="6">
        <v>31</v>
      </c>
      <c r="G154" s="6"/>
      <c r="H154" s="6"/>
      <c r="I154" s="7">
        <f>SUM(E154:H154)</f>
        <v>31</v>
      </c>
      <c r="J154" s="8" t="s">
        <v>247</v>
      </c>
      <c r="K154" s="15"/>
    </row>
    <row r="155" spans="1:11" x14ac:dyDescent="0.35">
      <c r="A155" s="6" t="s">
        <v>248</v>
      </c>
      <c r="B155" s="15" t="s">
        <v>8</v>
      </c>
      <c r="C155" s="6">
        <v>1981</v>
      </c>
      <c r="D155" s="6">
        <v>2005</v>
      </c>
      <c r="E155" s="6"/>
      <c r="F155" s="6">
        <v>13</v>
      </c>
      <c r="G155" s="6"/>
      <c r="H155" s="6"/>
      <c r="I155" s="7">
        <f>SUM(E155:H155)</f>
        <v>13</v>
      </c>
      <c r="J155" s="8"/>
      <c r="K155" s="15"/>
    </row>
    <row r="156" spans="1:11" ht="29" x14ac:dyDescent="0.35">
      <c r="A156" s="6" t="s">
        <v>249</v>
      </c>
      <c r="B156" s="15" t="s">
        <v>104</v>
      </c>
      <c r="C156" s="6">
        <v>1953</v>
      </c>
      <c r="D156" s="6">
        <v>1972</v>
      </c>
      <c r="E156" s="6">
        <v>68</v>
      </c>
      <c r="F156" s="6"/>
      <c r="G156" s="6"/>
      <c r="H156" s="6"/>
      <c r="I156" s="7">
        <f>SUM(E156:H156)</f>
        <v>68</v>
      </c>
      <c r="J156" s="8" t="s">
        <v>250</v>
      </c>
      <c r="K156" s="15"/>
    </row>
    <row r="157" spans="1:11" x14ac:dyDescent="0.35">
      <c r="A157" s="6" t="s">
        <v>252</v>
      </c>
      <c r="B157" s="15" t="s">
        <v>6</v>
      </c>
      <c r="C157" s="6">
        <v>1915</v>
      </c>
      <c r="D157" s="6">
        <v>1917</v>
      </c>
      <c r="E157" s="6">
        <v>1</v>
      </c>
      <c r="F157" s="6"/>
      <c r="G157" s="6"/>
      <c r="H157" s="6"/>
      <c r="I157" s="7">
        <f>SUM(E157:H157)</f>
        <v>1</v>
      </c>
      <c r="J157" s="8" t="s">
        <v>182</v>
      </c>
      <c r="K157" s="15"/>
    </row>
    <row r="158" spans="1:11" x14ac:dyDescent="0.35">
      <c r="A158" s="6" t="s">
        <v>251</v>
      </c>
      <c r="B158" s="15" t="s">
        <v>6</v>
      </c>
      <c r="C158" s="6">
        <v>1916</v>
      </c>
      <c r="D158" s="6">
        <v>1920</v>
      </c>
      <c r="E158" s="6">
        <v>1</v>
      </c>
      <c r="F158" s="6"/>
      <c r="G158" s="6"/>
      <c r="H158" s="6"/>
      <c r="I158" s="7">
        <f>SUM(E158:H158)</f>
        <v>1</v>
      </c>
      <c r="J158" s="8" t="s">
        <v>182</v>
      </c>
      <c r="K158" s="15"/>
    </row>
    <row r="159" spans="1:11" x14ac:dyDescent="0.35">
      <c r="A159" s="6" t="s">
        <v>253</v>
      </c>
      <c r="B159" s="15" t="s">
        <v>6</v>
      </c>
      <c r="C159" s="6">
        <v>1918</v>
      </c>
      <c r="D159" s="6">
        <v>1919</v>
      </c>
      <c r="E159" s="6">
        <v>3</v>
      </c>
      <c r="F159" s="6"/>
      <c r="G159" s="6"/>
      <c r="H159" s="6"/>
      <c r="I159" s="7">
        <f>SUM(E159:H159)</f>
        <v>3</v>
      </c>
      <c r="J159" s="8" t="s">
        <v>182</v>
      </c>
      <c r="K159" s="15"/>
    </row>
    <row r="160" spans="1:11" x14ac:dyDescent="0.35">
      <c r="A160" s="6" t="s">
        <v>254</v>
      </c>
      <c r="B160" s="15" t="s">
        <v>6</v>
      </c>
      <c r="C160" s="6">
        <v>1913</v>
      </c>
      <c r="D160" s="6">
        <v>1915</v>
      </c>
      <c r="E160" s="6">
        <v>2</v>
      </c>
      <c r="F160" s="6"/>
      <c r="G160" s="6"/>
      <c r="H160" s="6"/>
      <c r="I160" s="7">
        <f>SUM(E160:H160)</f>
        <v>2</v>
      </c>
      <c r="J160" s="8" t="s">
        <v>255</v>
      </c>
      <c r="K160" s="15"/>
    </row>
    <row r="161" spans="1:11" ht="29" x14ac:dyDescent="0.35">
      <c r="A161" s="6" t="s">
        <v>256</v>
      </c>
      <c r="B161" s="15" t="s">
        <v>47</v>
      </c>
      <c r="C161" s="6">
        <v>1936</v>
      </c>
      <c r="D161" s="6">
        <v>1942</v>
      </c>
      <c r="E161" s="6"/>
      <c r="F161" s="6"/>
      <c r="G161" s="6">
        <v>120</v>
      </c>
      <c r="H161" s="6"/>
      <c r="I161" s="7">
        <f>SUM(E161:H161)</f>
        <v>120</v>
      </c>
      <c r="J161" s="8" t="s">
        <v>257</v>
      </c>
      <c r="K161" s="15"/>
    </row>
    <row r="162" spans="1:11" ht="29" x14ac:dyDescent="0.35">
      <c r="A162" s="6" t="s">
        <v>258</v>
      </c>
      <c r="B162" s="15" t="s">
        <v>8</v>
      </c>
      <c r="C162" s="6">
        <v>1955</v>
      </c>
      <c r="D162" s="6">
        <v>1960</v>
      </c>
      <c r="E162" s="6"/>
      <c r="F162" s="6">
        <v>17</v>
      </c>
      <c r="G162" s="6"/>
      <c r="H162" s="6"/>
      <c r="I162" s="7">
        <f>SUM(E162:H162)</f>
        <v>17</v>
      </c>
      <c r="J162" s="8" t="s">
        <v>259</v>
      </c>
      <c r="K162" s="15"/>
    </row>
    <row r="163" spans="1:11" x14ac:dyDescent="0.35">
      <c r="A163" s="6" t="s">
        <v>260</v>
      </c>
      <c r="B163" s="15" t="s">
        <v>96</v>
      </c>
      <c r="C163" s="6">
        <v>1917</v>
      </c>
      <c r="D163" s="6">
        <v>1920</v>
      </c>
      <c r="E163" s="6"/>
      <c r="F163" s="6">
        <v>2</v>
      </c>
      <c r="G163" s="6">
        <v>8</v>
      </c>
      <c r="H163" s="6"/>
      <c r="I163" s="7">
        <f>SUM(E163:H163)</f>
        <v>10</v>
      </c>
      <c r="J163" s="8"/>
      <c r="K163" s="15"/>
    </row>
    <row r="164" spans="1:11" x14ac:dyDescent="0.35">
      <c r="A164" s="6" t="s">
        <v>261</v>
      </c>
      <c r="B164" s="15" t="s">
        <v>8</v>
      </c>
      <c r="C164" s="6">
        <v>1917</v>
      </c>
      <c r="D164" s="6">
        <v>1920</v>
      </c>
      <c r="E164" s="6"/>
      <c r="F164" s="6">
        <v>4</v>
      </c>
      <c r="G164" s="6"/>
      <c r="H164" s="6"/>
      <c r="I164" s="7">
        <f>SUM(E164:H164)</f>
        <v>4</v>
      </c>
      <c r="J164" s="8"/>
      <c r="K164" s="15"/>
    </row>
    <row r="165" spans="1:11" x14ac:dyDescent="0.35">
      <c r="A165" s="6" t="s">
        <v>262</v>
      </c>
      <c r="B165" s="15" t="s">
        <v>47</v>
      </c>
      <c r="C165" s="6">
        <v>1915</v>
      </c>
      <c r="D165" s="6">
        <v>1917</v>
      </c>
      <c r="E165" s="6"/>
      <c r="F165" s="6"/>
      <c r="G165" s="6">
        <v>2</v>
      </c>
      <c r="H165" s="6"/>
      <c r="I165" s="7">
        <f>SUM(E165:H165)</f>
        <v>2</v>
      </c>
      <c r="J165" s="8"/>
      <c r="K165" s="15"/>
    </row>
    <row r="166" spans="1:11" x14ac:dyDescent="0.35">
      <c r="A166" s="6" t="s">
        <v>263</v>
      </c>
      <c r="B166" s="15" t="s">
        <v>47</v>
      </c>
      <c r="C166" s="6">
        <v>1917</v>
      </c>
      <c r="D166" s="6">
        <v>1919</v>
      </c>
      <c r="E166" s="6"/>
      <c r="F166" s="6"/>
      <c r="G166" s="6">
        <v>4</v>
      </c>
      <c r="H166" s="6"/>
      <c r="I166" s="7">
        <f>SUM(E166:H166)</f>
        <v>4</v>
      </c>
      <c r="J166" s="8"/>
      <c r="K166" s="15"/>
    </row>
    <row r="167" spans="1:11" ht="29" x14ac:dyDescent="0.35">
      <c r="A167" s="6" t="s">
        <v>406</v>
      </c>
      <c r="B167" s="15" t="s">
        <v>417</v>
      </c>
      <c r="C167" s="6">
        <v>2001</v>
      </c>
      <c r="D167" s="6">
        <v>2005</v>
      </c>
      <c r="E167" s="6">
        <v>4</v>
      </c>
      <c r="F167" s="6"/>
      <c r="G167" s="6"/>
      <c r="H167" s="6"/>
      <c r="I167" s="7">
        <f>SUM(E167:H167)</f>
        <v>4</v>
      </c>
      <c r="J167" s="8" t="s">
        <v>418</v>
      </c>
      <c r="K167" s="15"/>
    </row>
    <row r="168" spans="1:11" x14ac:dyDescent="0.35">
      <c r="A168" s="6" t="s">
        <v>264</v>
      </c>
      <c r="B168" s="15" t="s">
        <v>104</v>
      </c>
      <c r="C168" s="6">
        <v>1995</v>
      </c>
      <c r="D168" s="10" t="s">
        <v>26</v>
      </c>
      <c r="E168" s="6">
        <v>30</v>
      </c>
      <c r="F168" s="6"/>
      <c r="G168" s="6"/>
      <c r="H168" s="6"/>
      <c r="I168" s="7">
        <f>SUM(E168:H168)</f>
        <v>30</v>
      </c>
      <c r="J168" s="8" t="s">
        <v>265</v>
      </c>
      <c r="K168" s="15"/>
    </row>
    <row r="169" spans="1:11" x14ac:dyDescent="0.35">
      <c r="A169" s="6" t="s">
        <v>266</v>
      </c>
      <c r="B169" s="15" t="s">
        <v>47</v>
      </c>
      <c r="C169" s="6">
        <v>1942</v>
      </c>
      <c r="D169" s="6">
        <v>1942</v>
      </c>
      <c r="E169" s="6"/>
      <c r="F169" s="6"/>
      <c r="G169" s="6">
        <v>1</v>
      </c>
      <c r="H169" s="6"/>
      <c r="I169" s="7">
        <f>SUM(E169:H169)</f>
        <v>1</v>
      </c>
      <c r="J169" s="8" t="s">
        <v>267</v>
      </c>
      <c r="K169" s="15"/>
    </row>
    <row r="170" spans="1:11" x14ac:dyDescent="0.35">
      <c r="A170" s="6" t="s">
        <v>268</v>
      </c>
      <c r="B170" s="15" t="s">
        <v>9</v>
      </c>
      <c r="C170" s="6">
        <v>1995</v>
      </c>
      <c r="D170" s="6">
        <v>2021</v>
      </c>
      <c r="E170" s="6">
        <v>3</v>
      </c>
      <c r="F170" s="6"/>
      <c r="G170" s="6"/>
      <c r="H170" s="6"/>
      <c r="I170" s="7">
        <f>SUM(E170:H170)</f>
        <v>3</v>
      </c>
      <c r="J170" s="8" t="s">
        <v>269</v>
      </c>
      <c r="K170" s="15"/>
    </row>
    <row r="171" spans="1:11" x14ac:dyDescent="0.35">
      <c r="A171" s="6" t="s">
        <v>270</v>
      </c>
      <c r="B171" s="15" t="s">
        <v>47</v>
      </c>
      <c r="C171" s="6">
        <v>1941</v>
      </c>
      <c r="D171" s="6">
        <v>1942</v>
      </c>
      <c r="E171" s="6"/>
      <c r="F171" s="6"/>
      <c r="G171" s="6">
        <v>1</v>
      </c>
      <c r="H171" s="6"/>
      <c r="I171" s="7">
        <f>SUM(E171:H171)</f>
        <v>1</v>
      </c>
      <c r="J171" s="8" t="s">
        <v>271</v>
      </c>
      <c r="K171" s="15"/>
    </row>
    <row r="172" spans="1:11" x14ac:dyDescent="0.35">
      <c r="A172" s="6" t="s">
        <v>272</v>
      </c>
      <c r="B172" s="15" t="s">
        <v>47</v>
      </c>
      <c r="C172" s="6">
        <v>1945</v>
      </c>
      <c r="D172" s="6">
        <v>1946</v>
      </c>
      <c r="E172" s="6"/>
      <c r="F172" s="6"/>
      <c r="G172" s="6">
        <v>1</v>
      </c>
      <c r="H172" s="6"/>
      <c r="I172" s="7">
        <f>SUM(E172:H172)</f>
        <v>1</v>
      </c>
      <c r="J172" s="8" t="s">
        <v>273</v>
      </c>
      <c r="K172" s="15"/>
    </row>
    <row r="173" spans="1:11" x14ac:dyDescent="0.35">
      <c r="A173" s="6" t="s">
        <v>274</v>
      </c>
      <c r="B173" s="15" t="s">
        <v>47</v>
      </c>
      <c r="C173" s="6">
        <v>1945</v>
      </c>
      <c r="D173" s="6">
        <v>1946</v>
      </c>
      <c r="E173" s="6"/>
      <c r="F173" s="6"/>
      <c r="G173" s="6">
        <v>4</v>
      </c>
      <c r="H173" s="6"/>
      <c r="I173" s="7">
        <f>SUM(E173:H173)</f>
        <v>4</v>
      </c>
      <c r="J173" s="8" t="s">
        <v>273</v>
      </c>
      <c r="K173" s="15"/>
    </row>
    <row r="174" spans="1:11" x14ac:dyDescent="0.35">
      <c r="A174" s="6" t="s">
        <v>275</v>
      </c>
      <c r="B174" s="15" t="s">
        <v>47</v>
      </c>
      <c r="C174" s="6">
        <v>1924</v>
      </c>
      <c r="D174" s="6">
        <v>1933</v>
      </c>
      <c r="E174" s="6"/>
      <c r="F174" s="6"/>
      <c r="G174" s="6">
        <v>1</v>
      </c>
      <c r="H174" s="6"/>
      <c r="I174" s="7">
        <f>SUM(E174:H174)</f>
        <v>1</v>
      </c>
      <c r="J174" s="8"/>
      <c r="K174" s="15"/>
    </row>
    <row r="175" spans="1:11" x14ac:dyDescent="0.35">
      <c r="A175" s="6" t="s">
        <v>276</v>
      </c>
      <c r="B175" s="15" t="s">
        <v>6</v>
      </c>
      <c r="C175" s="6">
        <v>1915</v>
      </c>
      <c r="D175" s="6">
        <v>1917</v>
      </c>
      <c r="E175" s="6">
        <v>1</v>
      </c>
      <c r="F175" s="6"/>
      <c r="G175" s="6"/>
      <c r="H175" s="6"/>
      <c r="I175" s="7">
        <f>SUM(E175:H175)</f>
        <v>1</v>
      </c>
      <c r="J175" s="8" t="s">
        <v>182</v>
      </c>
      <c r="K175" s="15"/>
    </row>
    <row r="176" spans="1:11" x14ac:dyDescent="0.35">
      <c r="A176" s="6" t="s">
        <v>444</v>
      </c>
      <c r="B176" s="15" t="s">
        <v>436</v>
      </c>
      <c r="C176" s="6">
        <v>1962</v>
      </c>
      <c r="D176" s="6">
        <v>1974</v>
      </c>
      <c r="E176" s="6"/>
      <c r="F176" s="6"/>
      <c r="G176" s="6"/>
      <c r="H176" s="6">
        <v>7</v>
      </c>
      <c r="I176" s="7">
        <f>SUM(E176:H176)</f>
        <v>7</v>
      </c>
      <c r="J176" s="8"/>
      <c r="K176" s="15"/>
    </row>
    <row r="177" spans="1:11" ht="31" customHeight="1" x14ac:dyDescent="0.35">
      <c r="A177" s="6" t="s">
        <v>277</v>
      </c>
      <c r="B177" s="15" t="s">
        <v>416</v>
      </c>
      <c r="C177" s="6">
        <v>1975</v>
      </c>
      <c r="D177" s="6">
        <v>2005</v>
      </c>
      <c r="E177" s="6">
        <v>41</v>
      </c>
      <c r="F177" s="6"/>
      <c r="G177" s="6"/>
      <c r="H177" s="6"/>
      <c r="I177" s="7">
        <f>SUM(E177:H177)</f>
        <v>41</v>
      </c>
      <c r="J177" s="8" t="s">
        <v>415</v>
      </c>
      <c r="K177" s="15"/>
    </row>
    <row r="178" spans="1:11" x14ac:dyDescent="0.35">
      <c r="A178" s="6" t="s">
        <v>384</v>
      </c>
      <c r="B178" s="15" t="s">
        <v>104</v>
      </c>
      <c r="C178" s="6">
        <v>2022</v>
      </c>
      <c r="D178" s="10" t="s">
        <v>26</v>
      </c>
      <c r="E178" s="6"/>
      <c r="F178" s="6">
        <v>4</v>
      </c>
      <c r="G178" s="6"/>
      <c r="H178" s="6"/>
      <c r="I178" s="7">
        <f>SUM(E178:H178)</f>
        <v>4</v>
      </c>
      <c r="J178" s="8" t="s">
        <v>385</v>
      </c>
      <c r="K178" s="15"/>
    </row>
    <row r="179" spans="1:11" x14ac:dyDescent="0.35">
      <c r="A179" s="6" t="s">
        <v>278</v>
      </c>
      <c r="B179" s="15" t="s">
        <v>279</v>
      </c>
      <c r="C179" s="6">
        <v>2013</v>
      </c>
      <c r="D179" s="10" t="s">
        <v>26</v>
      </c>
      <c r="E179" s="6"/>
      <c r="F179" s="6">
        <v>20</v>
      </c>
      <c r="G179" s="6"/>
      <c r="H179" s="6"/>
      <c r="I179" s="7">
        <f>SUM(E179:H179)</f>
        <v>20</v>
      </c>
      <c r="J179" s="8" t="s">
        <v>280</v>
      </c>
      <c r="K179" s="15"/>
    </row>
    <row r="180" spans="1:11" x14ac:dyDescent="0.35">
      <c r="A180" s="6" t="s">
        <v>286</v>
      </c>
      <c r="B180" s="15" t="s">
        <v>6</v>
      </c>
      <c r="C180" s="6">
        <v>1918</v>
      </c>
      <c r="D180" s="6">
        <v>1925</v>
      </c>
      <c r="E180" s="6">
        <v>20</v>
      </c>
      <c r="F180" s="6"/>
      <c r="G180" s="6"/>
      <c r="H180" s="6"/>
      <c r="I180" s="7">
        <f>SUM(E180:H180)</f>
        <v>20</v>
      </c>
      <c r="J180" s="8" t="s">
        <v>287</v>
      </c>
      <c r="K180" s="15"/>
    </row>
    <row r="181" spans="1:11" x14ac:dyDescent="0.35">
      <c r="A181" s="6" t="s">
        <v>288</v>
      </c>
      <c r="B181" s="15" t="s">
        <v>6</v>
      </c>
      <c r="C181" s="6">
        <v>1918</v>
      </c>
      <c r="D181" s="6">
        <v>1922</v>
      </c>
      <c r="E181" s="6">
        <v>5</v>
      </c>
      <c r="F181" s="6"/>
      <c r="G181" s="6"/>
      <c r="H181" s="6"/>
      <c r="I181" s="7">
        <f>SUM(E181:H181)</f>
        <v>5</v>
      </c>
      <c r="J181" s="8"/>
      <c r="K181" s="15"/>
    </row>
    <row r="182" spans="1:11" x14ac:dyDescent="0.35">
      <c r="A182" s="6" t="s">
        <v>289</v>
      </c>
      <c r="B182" s="15" t="s">
        <v>6</v>
      </c>
      <c r="C182" s="6">
        <v>1918</v>
      </c>
      <c r="D182" s="6">
        <v>1925</v>
      </c>
      <c r="E182" s="6">
        <v>5</v>
      </c>
      <c r="F182" s="6"/>
      <c r="G182" s="6"/>
      <c r="H182" s="6"/>
      <c r="I182" s="7">
        <f>SUM(E182:H182)</f>
        <v>5</v>
      </c>
      <c r="J182" s="8"/>
      <c r="K182" s="15"/>
    </row>
    <row r="183" spans="1:11" x14ac:dyDescent="0.35">
      <c r="A183" s="6" t="s">
        <v>290</v>
      </c>
      <c r="B183" s="15" t="s">
        <v>47</v>
      </c>
      <c r="C183" s="6">
        <v>1948</v>
      </c>
      <c r="D183" s="6">
        <v>1950</v>
      </c>
      <c r="E183" s="6"/>
      <c r="F183" s="6"/>
      <c r="G183" s="6">
        <v>1</v>
      </c>
      <c r="H183" s="6"/>
      <c r="I183" s="7">
        <f>SUM(E183:H183)</f>
        <v>1</v>
      </c>
      <c r="J183" s="8" t="s">
        <v>291</v>
      </c>
      <c r="K183" s="15"/>
    </row>
    <row r="184" spans="1:11" x14ac:dyDescent="0.35">
      <c r="A184" s="6" t="s">
        <v>292</v>
      </c>
      <c r="B184" s="15" t="s">
        <v>47</v>
      </c>
      <c r="C184" s="6">
        <v>1945</v>
      </c>
      <c r="D184" s="6">
        <v>1949</v>
      </c>
      <c r="E184" s="6"/>
      <c r="F184" s="6"/>
      <c r="G184" s="6">
        <v>40</v>
      </c>
      <c r="H184" s="6"/>
      <c r="I184" s="7">
        <f>SUM(E184:H184)</f>
        <v>40</v>
      </c>
      <c r="J184" s="8" t="s">
        <v>293</v>
      </c>
      <c r="K184" s="15"/>
    </row>
    <row r="185" spans="1:11" ht="61.5" customHeight="1" x14ac:dyDescent="0.35">
      <c r="A185" s="6" t="s">
        <v>294</v>
      </c>
      <c r="B185" s="15" t="s">
        <v>96</v>
      </c>
      <c r="C185" s="6">
        <v>1943</v>
      </c>
      <c r="D185" s="6">
        <v>1954</v>
      </c>
      <c r="E185" s="6">
        <v>29</v>
      </c>
      <c r="F185" s="6">
        <v>95</v>
      </c>
      <c r="G185" s="6">
        <v>145</v>
      </c>
      <c r="H185" s="6"/>
      <c r="I185" s="7">
        <f>SUM(E185:H185)</f>
        <v>269</v>
      </c>
      <c r="J185" s="8" t="s">
        <v>297</v>
      </c>
      <c r="K185" s="15"/>
    </row>
    <row r="186" spans="1:11" x14ac:dyDescent="0.35">
      <c r="A186" s="6" t="s">
        <v>295</v>
      </c>
      <c r="B186" s="15" t="s">
        <v>104</v>
      </c>
      <c r="C186" s="6">
        <v>1956</v>
      </c>
      <c r="D186" s="6">
        <v>1964</v>
      </c>
      <c r="E186" s="6">
        <v>63</v>
      </c>
      <c r="F186" s="6"/>
      <c r="G186" s="6"/>
      <c r="H186" s="6"/>
      <c r="I186" s="7">
        <f>SUM(E186:H186)</f>
        <v>63</v>
      </c>
      <c r="J186" s="8"/>
      <c r="K186" s="15"/>
    </row>
    <row r="187" spans="1:11" ht="45.5" customHeight="1" x14ac:dyDescent="0.35">
      <c r="A187" s="6" t="s">
        <v>441</v>
      </c>
      <c r="B187" s="15" t="s">
        <v>414</v>
      </c>
      <c r="C187" s="6">
        <v>1942</v>
      </c>
      <c r="D187" s="6">
        <v>1972</v>
      </c>
      <c r="E187" s="6">
        <v>175</v>
      </c>
      <c r="F187" s="6"/>
      <c r="G187" s="6">
        <v>28</v>
      </c>
      <c r="H187" s="6">
        <v>22</v>
      </c>
      <c r="I187" s="7">
        <f>SUM(E187:H187)</f>
        <v>225</v>
      </c>
      <c r="J187" s="8" t="s">
        <v>450</v>
      </c>
      <c r="K187" s="15"/>
    </row>
    <row r="188" spans="1:11" x14ac:dyDescent="0.35">
      <c r="A188" s="6" t="s">
        <v>298</v>
      </c>
      <c r="B188" s="15" t="s">
        <v>123</v>
      </c>
      <c r="C188" s="6">
        <v>1939</v>
      </c>
      <c r="D188" s="6">
        <v>1940</v>
      </c>
      <c r="E188" s="6">
        <v>1</v>
      </c>
      <c r="F188" s="6"/>
      <c r="G188" s="6"/>
      <c r="H188" s="6"/>
      <c r="I188" s="7">
        <f>SUM(E188:H188)</f>
        <v>1</v>
      </c>
      <c r="J188" s="8" t="s">
        <v>299</v>
      </c>
      <c r="K188" s="15"/>
    </row>
    <row r="189" spans="1:11" x14ac:dyDescent="0.35">
      <c r="A189" s="6" t="s">
        <v>300</v>
      </c>
      <c r="B189" s="15" t="s">
        <v>104</v>
      </c>
      <c r="C189" s="6">
        <v>1969</v>
      </c>
      <c r="D189" s="6">
        <v>1991</v>
      </c>
      <c r="E189" s="6">
        <v>105</v>
      </c>
      <c r="F189" s="6"/>
      <c r="G189" s="6"/>
      <c r="H189" s="6"/>
      <c r="I189" s="7">
        <f>SUM(E189:H189)</f>
        <v>105</v>
      </c>
      <c r="J189" s="8" t="s">
        <v>301</v>
      </c>
      <c r="K189" s="15"/>
    </row>
    <row r="190" spans="1:11" x14ac:dyDescent="0.35">
      <c r="A190" s="6" t="s">
        <v>302</v>
      </c>
      <c r="B190" s="15" t="s">
        <v>8</v>
      </c>
      <c r="C190" s="6">
        <v>1925</v>
      </c>
      <c r="D190" s="6">
        <v>1927</v>
      </c>
      <c r="E190" s="6"/>
      <c r="F190" s="6">
        <v>2</v>
      </c>
      <c r="G190" s="6"/>
      <c r="H190" s="6"/>
      <c r="I190" s="7">
        <f>SUM(E190:H190)</f>
        <v>2</v>
      </c>
      <c r="J190" s="8"/>
      <c r="K190" s="15"/>
    </row>
    <row r="191" spans="1:11" x14ac:dyDescent="0.35">
      <c r="A191" s="6" t="s">
        <v>303</v>
      </c>
      <c r="B191" s="15" t="s">
        <v>104</v>
      </c>
      <c r="C191" s="6">
        <v>1944</v>
      </c>
      <c r="D191" s="6">
        <v>1953</v>
      </c>
      <c r="E191" s="6">
        <v>11</v>
      </c>
      <c r="F191" s="6"/>
      <c r="G191" s="6"/>
      <c r="H191" s="6"/>
      <c r="I191" s="7">
        <f>SUM(E191:H191)</f>
        <v>11</v>
      </c>
      <c r="J191" s="8"/>
      <c r="K191" s="15"/>
    </row>
    <row r="192" spans="1:11" x14ac:dyDescent="0.35">
      <c r="A192" s="6" t="s">
        <v>304</v>
      </c>
      <c r="B192" s="15" t="s">
        <v>6</v>
      </c>
      <c r="C192" s="6">
        <v>1918</v>
      </c>
      <c r="D192" s="6">
        <v>1921</v>
      </c>
      <c r="E192" s="6">
        <v>1</v>
      </c>
      <c r="F192" s="6"/>
      <c r="G192" s="6"/>
      <c r="H192" s="6"/>
      <c r="I192" s="7">
        <f>SUM(E192:H192)</f>
        <v>1</v>
      </c>
      <c r="J192" s="8" t="s">
        <v>182</v>
      </c>
      <c r="K192" s="15"/>
    </row>
    <row r="193" spans="1:11" ht="29" x14ac:dyDescent="0.35">
      <c r="A193" s="6" t="s">
        <v>399</v>
      </c>
      <c r="B193" s="15" t="s">
        <v>397</v>
      </c>
      <c r="C193" s="6">
        <v>1988</v>
      </c>
      <c r="D193" s="6">
        <v>2003</v>
      </c>
      <c r="E193" s="6">
        <v>2</v>
      </c>
      <c r="F193" s="6"/>
      <c r="G193" s="6"/>
      <c r="H193" s="6"/>
      <c r="I193" s="7">
        <f>SUM(E193:H193)</f>
        <v>2</v>
      </c>
      <c r="J193" s="8"/>
      <c r="K193" s="15"/>
    </row>
    <row r="194" spans="1:11" x14ac:dyDescent="0.35">
      <c r="A194" s="6" t="s">
        <v>305</v>
      </c>
      <c r="B194" s="15" t="s">
        <v>84</v>
      </c>
      <c r="C194" s="6">
        <v>1989</v>
      </c>
      <c r="D194" s="10" t="s">
        <v>26</v>
      </c>
      <c r="E194" s="6">
        <v>21</v>
      </c>
      <c r="F194" s="6"/>
      <c r="G194" s="6"/>
      <c r="H194" s="6"/>
      <c r="I194" s="7">
        <f>SUM(E194:H194)</f>
        <v>21</v>
      </c>
      <c r="J194" s="8" t="s">
        <v>306</v>
      </c>
      <c r="K194" s="15"/>
    </row>
    <row r="195" spans="1:11" ht="29" x14ac:dyDescent="0.35">
      <c r="A195" s="6" t="s">
        <v>307</v>
      </c>
      <c r="B195" s="15" t="s">
        <v>296</v>
      </c>
      <c r="C195" s="6">
        <v>1940</v>
      </c>
      <c r="D195" s="6">
        <v>1976</v>
      </c>
      <c r="E195" s="6">
        <v>162</v>
      </c>
      <c r="F195" s="6"/>
      <c r="G195" s="6">
        <v>81</v>
      </c>
      <c r="H195" s="6"/>
      <c r="I195" s="7">
        <f>SUM(E195:H195)</f>
        <v>243</v>
      </c>
      <c r="J195" s="8" t="s">
        <v>308</v>
      </c>
      <c r="K195" s="15"/>
    </row>
    <row r="196" spans="1:11" x14ac:dyDescent="0.35">
      <c r="A196" s="6" t="s">
        <v>309</v>
      </c>
      <c r="B196" s="15" t="s">
        <v>284</v>
      </c>
      <c r="C196" s="6">
        <v>1943</v>
      </c>
      <c r="D196" s="6">
        <v>1946</v>
      </c>
      <c r="E196" s="6">
        <v>1</v>
      </c>
      <c r="F196" s="6"/>
      <c r="G196" s="6"/>
      <c r="H196" s="6"/>
      <c r="I196" s="7">
        <f>SUM(E196:H196)</f>
        <v>1</v>
      </c>
      <c r="J196" s="8" t="s">
        <v>310</v>
      </c>
      <c r="K196" s="15"/>
    </row>
    <row r="197" spans="1:11" x14ac:dyDescent="0.35">
      <c r="A197" s="6" t="s">
        <v>311</v>
      </c>
      <c r="B197" s="15" t="s">
        <v>6</v>
      </c>
      <c r="C197" s="6">
        <v>1915</v>
      </c>
      <c r="D197" s="6">
        <v>1918</v>
      </c>
      <c r="E197" s="6">
        <v>2</v>
      </c>
      <c r="F197" s="6"/>
      <c r="G197" s="6"/>
      <c r="H197" s="6"/>
      <c r="I197" s="7">
        <f>SUM(E197:H197)</f>
        <v>2</v>
      </c>
      <c r="J197" s="8" t="s">
        <v>182</v>
      </c>
      <c r="K197" s="15"/>
    </row>
    <row r="198" spans="1:11" x14ac:dyDescent="0.35">
      <c r="A198" s="6" t="s">
        <v>312</v>
      </c>
      <c r="B198" s="15" t="s">
        <v>6</v>
      </c>
      <c r="C198" s="6">
        <v>1918</v>
      </c>
      <c r="D198" s="6">
        <v>1920</v>
      </c>
      <c r="E198" s="6">
        <v>1</v>
      </c>
      <c r="F198" s="6"/>
      <c r="G198" s="6"/>
      <c r="H198" s="6"/>
      <c r="I198" s="7">
        <f>SUM(E198:H198)</f>
        <v>1</v>
      </c>
      <c r="J198" s="8" t="s">
        <v>182</v>
      </c>
      <c r="K198" s="15"/>
    </row>
    <row r="199" spans="1:11" ht="29" x14ac:dyDescent="0.35">
      <c r="A199" s="6" t="s">
        <v>313</v>
      </c>
      <c r="B199" s="15" t="s">
        <v>104</v>
      </c>
      <c r="C199" s="6">
        <v>1951</v>
      </c>
      <c r="D199" s="6">
        <v>1956</v>
      </c>
      <c r="E199" s="6">
        <v>187</v>
      </c>
      <c r="F199" s="6"/>
      <c r="G199" s="6"/>
      <c r="H199" s="6"/>
      <c r="I199" s="7">
        <f>SUM(E199:H199)</f>
        <v>187</v>
      </c>
      <c r="J199" s="8" t="s">
        <v>314</v>
      </c>
      <c r="K199" s="15"/>
    </row>
    <row r="200" spans="1:11" x14ac:dyDescent="0.35">
      <c r="A200" s="6" t="s">
        <v>315</v>
      </c>
      <c r="B200" s="15" t="s">
        <v>104</v>
      </c>
      <c r="C200" s="6">
        <v>1955</v>
      </c>
      <c r="D200" s="6">
        <v>1970</v>
      </c>
      <c r="E200" s="6">
        <v>180</v>
      </c>
      <c r="F200" s="6"/>
      <c r="G200" s="6"/>
      <c r="H200" s="6"/>
      <c r="I200" s="7">
        <f>SUM(E200:H200)</f>
        <v>180</v>
      </c>
      <c r="J200" s="8" t="s">
        <v>316</v>
      </c>
      <c r="K200" s="15"/>
    </row>
    <row r="201" spans="1:11" x14ac:dyDescent="0.35">
      <c r="A201" s="6" t="s">
        <v>317</v>
      </c>
      <c r="B201" s="15" t="s">
        <v>104</v>
      </c>
      <c r="C201" s="6">
        <v>1955</v>
      </c>
      <c r="D201" s="6">
        <v>1963</v>
      </c>
      <c r="E201" s="6">
        <v>24</v>
      </c>
      <c r="F201" s="6"/>
      <c r="G201" s="6"/>
      <c r="H201" s="6"/>
      <c r="I201" s="7">
        <f>SUM(E201:H201)</f>
        <v>24</v>
      </c>
      <c r="J201" s="8" t="s">
        <v>318</v>
      </c>
      <c r="K201" s="15"/>
    </row>
    <row r="202" spans="1:11" x14ac:dyDescent="0.35">
      <c r="A202" s="6" t="s">
        <v>319</v>
      </c>
      <c r="B202" s="15" t="s">
        <v>6</v>
      </c>
      <c r="C202" s="6">
        <v>1915</v>
      </c>
      <c r="D202" s="6">
        <v>1918</v>
      </c>
      <c r="E202" s="6">
        <v>1</v>
      </c>
      <c r="F202" s="6"/>
      <c r="G202" s="6"/>
      <c r="H202" s="6"/>
      <c r="I202" s="7">
        <f>SUM(E202:H202)</f>
        <v>1</v>
      </c>
      <c r="J202" s="8" t="s">
        <v>182</v>
      </c>
      <c r="K202" s="15"/>
    </row>
    <row r="203" spans="1:11" x14ac:dyDescent="0.35">
      <c r="A203" s="6" t="s">
        <v>320</v>
      </c>
      <c r="B203" s="15" t="s">
        <v>6</v>
      </c>
      <c r="C203" s="6">
        <v>1917</v>
      </c>
      <c r="D203" s="6">
        <v>1919</v>
      </c>
      <c r="E203" s="6">
        <v>3</v>
      </c>
      <c r="F203" s="6"/>
      <c r="G203" s="6"/>
      <c r="H203" s="6"/>
      <c r="I203" s="7">
        <f>SUM(E203:H203)</f>
        <v>3</v>
      </c>
      <c r="J203" s="8" t="s">
        <v>182</v>
      </c>
      <c r="K203" s="15"/>
    </row>
    <row r="204" spans="1:11" x14ac:dyDescent="0.35">
      <c r="A204" s="6" t="s">
        <v>321</v>
      </c>
      <c r="B204" s="15" t="s">
        <v>8</v>
      </c>
      <c r="C204" s="6">
        <v>1917</v>
      </c>
      <c r="D204" s="6">
        <v>1919</v>
      </c>
      <c r="E204" s="6"/>
      <c r="F204" s="6">
        <v>1</v>
      </c>
      <c r="G204" s="6"/>
      <c r="H204" s="6"/>
      <c r="I204" s="7">
        <f>SUM(E204:H204)</f>
        <v>1</v>
      </c>
      <c r="J204" s="8" t="s">
        <v>322</v>
      </c>
      <c r="K204" s="15"/>
    </row>
    <row r="205" spans="1:11" x14ac:dyDescent="0.35">
      <c r="A205" s="6" t="s">
        <v>323</v>
      </c>
      <c r="B205" s="15" t="s">
        <v>6</v>
      </c>
      <c r="C205" s="6">
        <v>1918</v>
      </c>
      <c r="D205" s="6">
        <v>1925</v>
      </c>
      <c r="E205" s="6">
        <v>40</v>
      </c>
      <c r="F205" s="6"/>
      <c r="G205" s="6"/>
      <c r="H205" s="6"/>
      <c r="I205" s="7">
        <f>SUM(E205:H205)</f>
        <v>40</v>
      </c>
      <c r="J205" s="8" t="s">
        <v>324</v>
      </c>
      <c r="K205" s="15"/>
    </row>
    <row r="206" spans="1:11" ht="29" x14ac:dyDescent="0.35">
      <c r="A206" s="6" t="s">
        <v>325</v>
      </c>
      <c r="B206" s="15" t="s">
        <v>96</v>
      </c>
      <c r="C206" s="6">
        <v>1940</v>
      </c>
      <c r="D206" s="6">
        <v>1942</v>
      </c>
      <c r="E206" s="6"/>
      <c r="F206" s="6">
        <v>48</v>
      </c>
      <c r="G206" s="6">
        <v>60</v>
      </c>
      <c r="H206" s="6"/>
      <c r="I206" s="7">
        <f>SUM(E206:H206)</f>
        <v>108</v>
      </c>
      <c r="J206" s="8" t="s">
        <v>326</v>
      </c>
      <c r="K206" s="15"/>
    </row>
    <row r="207" spans="1:11" x14ac:dyDescent="0.35">
      <c r="A207" s="6" t="s">
        <v>411</v>
      </c>
      <c r="B207" s="15" t="s">
        <v>412</v>
      </c>
      <c r="C207" s="6">
        <v>1950</v>
      </c>
      <c r="D207" s="6">
        <v>1979</v>
      </c>
      <c r="E207" s="6"/>
      <c r="F207" s="6"/>
      <c r="G207" s="6"/>
      <c r="H207" s="6">
        <v>23</v>
      </c>
      <c r="I207" s="7">
        <f>SUM(E207:H207)</f>
        <v>23</v>
      </c>
      <c r="J207" s="8" t="s">
        <v>453</v>
      </c>
      <c r="K207" s="15"/>
    </row>
    <row r="208" spans="1:11" ht="29" x14ac:dyDescent="0.35">
      <c r="A208" s="6" t="s">
        <v>327</v>
      </c>
      <c r="B208" s="15" t="s">
        <v>104</v>
      </c>
      <c r="C208" s="6">
        <v>1999</v>
      </c>
      <c r="D208" s="6">
        <v>2011</v>
      </c>
      <c r="E208" s="6">
        <v>33</v>
      </c>
      <c r="F208" s="6"/>
      <c r="G208" s="6"/>
      <c r="H208" s="6"/>
      <c r="I208" s="7">
        <f>SUM(E208:H208)</f>
        <v>33</v>
      </c>
      <c r="J208" s="8" t="s">
        <v>328</v>
      </c>
      <c r="K208" s="15"/>
    </row>
    <row r="209" spans="1:11" x14ac:dyDescent="0.35">
      <c r="A209" s="6" t="s">
        <v>329</v>
      </c>
      <c r="B209" s="15" t="s">
        <v>8</v>
      </c>
      <c r="C209" s="6">
        <v>1995</v>
      </c>
      <c r="D209" s="6">
        <v>2005</v>
      </c>
      <c r="E209" s="6"/>
      <c r="F209" s="6">
        <v>1</v>
      </c>
      <c r="G209" s="6"/>
      <c r="H209" s="6"/>
      <c r="I209" s="7">
        <f>SUM(E209:H209)</f>
        <v>1</v>
      </c>
      <c r="J209" s="8" t="s">
        <v>330</v>
      </c>
      <c r="K209" s="15"/>
    </row>
    <row r="210" spans="1:11" x14ac:dyDescent="0.35">
      <c r="A210" s="6" t="s">
        <v>331</v>
      </c>
      <c r="B210" s="15" t="s">
        <v>8</v>
      </c>
      <c r="C210" s="6">
        <v>1917</v>
      </c>
      <c r="D210" s="6">
        <v>1920</v>
      </c>
      <c r="E210" s="6"/>
      <c r="F210" s="6">
        <v>1</v>
      </c>
      <c r="G210" s="6"/>
      <c r="H210" s="6"/>
      <c r="I210" s="7">
        <f>SUM(E210:H210)</f>
        <v>1</v>
      </c>
      <c r="J210" s="8" t="s">
        <v>182</v>
      </c>
      <c r="K210" s="15"/>
    </row>
    <row r="211" spans="1:11" x14ac:dyDescent="0.35">
      <c r="A211" s="6" t="s">
        <v>332</v>
      </c>
      <c r="B211" s="15" t="s">
        <v>8</v>
      </c>
      <c r="C211" s="6">
        <v>1947</v>
      </c>
      <c r="D211" s="6">
        <v>1959</v>
      </c>
      <c r="E211" s="6"/>
      <c r="F211" s="6">
        <v>1</v>
      </c>
      <c r="G211" s="6"/>
      <c r="H211" s="6"/>
      <c r="I211" s="7">
        <f>SUM(E211:H211)</f>
        <v>1</v>
      </c>
      <c r="J211" s="8" t="s">
        <v>333</v>
      </c>
      <c r="K211" s="15"/>
    </row>
    <row r="212" spans="1:11" x14ac:dyDescent="0.35">
      <c r="A212" s="6" t="s">
        <v>334</v>
      </c>
      <c r="B212" s="15" t="s">
        <v>8</v>
      </c>
      <c r="C212" s="6">
        <v>1953</v>
      </c>
      <c r="D212" s="6">
        <v>1963</v>
      </c>
      <c r="E212" s="6"/>
      <c r="F212" s="6">
        <v>3</v>
      </c>
      <c r="G212" s="6"/>
      <c r="H212" s="6"/>
      <c r="I212" s="7">
        <f>SUM(E212:H212)</f>
        <v>3</v>
      </c>
      <c r="J212" s="8" t="s">
        <v>335</v>
      </c>
      <c r="K212" s="15"/>
    </row>
    <row r="213" spans="1:11" x14ac:dyDescent="0.35">
      <c r="A213" s="6" t="s">
        <v>336</v>
      </c>
      <c r="B213" s="15" t="s">
        <v>8</v>
      </c>
      <c r="C213" s="6">
        <v>1960</v>
      </c>
      <c r="D213" s="6">
        <v>1963</v>
      </c>
      <c r="E213" s="6"/>
      <c r="F213" s="6">
        <v>12</v>
      </c>
      <c r="G213" s="6"/>
      <c r="H213" s="6"/>
      <c r="I213" s="7">
        <f>SUM(E213:H213)</f>
        <v>12</v>
      </c>
      <c r="J213" s="8" t="s">
        <v>337</v>
      </c>
      <c r="K213" s="15"/>
    </row>
    <row r="214" spans="1:11" x14ac:dyDescent="0.35">
      <c r="A214" s="6" t="s">
        <v>440</v>
      </c>
      <c r="B214" s="15" t="s">
        <v>436</v>
      </c>
      <c r="C214" s="6">
        <v>1990</v>
      </c>
      <c r="D214" s="6">
        <v>2002</v>
      </c>
      <c r="E214" s="6"/>
      <c r="F214" s="6"/>
      <c r="G214" s="6"/>
      <c r="H214" s="6">
        <v>9</v>
      </c>
      <c r="I214" s="7">
        <f>SUM(E214:H214)</f>
        <v>9</v>
      </c>
      <c r="J214" s="8" t="s">
        <v>455</v>
      </c>
      <c r="K214" s="15"/>
    </row>
    <row r="215" spans="1:11" x14ac:dyDescent="0.35">
      <c r="A215" s="6" t="s">
        <v>338</v>
      </c>
      <c r="B215" s="15" t="s">
        <v>6</v>
      </c>
      <c r="C215" s="6">
        <v>1917</v>
      </c>
      <c r="D215" s="6">
        <v>1920</v>
      </c>
      <c r="E215" s="6">
        <v>1</v>
      </c>
      <c r="F215" s="6"/>
      <c r="G215" s="6"/>
      <c r="H215" s="6"/>
      <c r="I215" s="7">
        <f>SUM(E215:H215)</f>
        <v>1</v>
      </c>
      <c r="J215" s="8" t="s">
        <v>182</v>
      </c>
      <c r="K215" s="15"/>
    </row>
    <row r="216" spans="1:11" x14ac:dyDescent="0.35">
      <c r="A216" s="6" t="s">
        <v>339</v>
      </c>
      <c r="B216" s="15" t="s">
        <v>6</v>
      </c>
      <c r="C216" s="6">
        <v>1916</v>
      </c>
      <c r="D216" s="6">
        <v>1919</v>
      </c>
      <c r="E216" s="6">
        <v>5</v>
      </c>
      <c r="F216" s="6"/>
      <c r="G216" s="6"/>
      <c r="H216" s="6"/>
      <c r="I216" s="7">
        <f>SUM(E216:H216)</f>
        <v>5</v>
      </c>
      <c r="J216" s="8" t="s">
        <v>182</v>
      </c>
      <c r="K216" s="15"/>
    </row>
    <row r="217" spans="1:11" x14ac:dyDescent="0.35">
      <c r="A217" s="6" t="s">
        <v>340</v>
      </c>
      <c r="B217" s="15" t="s">
        <v>6</v>
      </c>
      <c r="C217" s="6">
        <v>1917</v>
      </c>
      <c r="D217" s="6">
        <v>1919</v>
      </c>
      <c r="E217" s="6">
        <v>1</v>
      </c>
      <c r="F217" s="6"/>
      <c r="G217" s="6"/>
      <c r="H217" s="6"/>
      <c r="I217" s="7">
        <f>SUM(E217:H217)</f>
        <v>1</v>
      </c>
      <c r="J217" s="8" t="s">
        <v>182</v>
      </c>
      <c r="K217" s="15"/>
    </row>
    <row r="218" spans="1:11" x14ac:dyDescent="0.35">
      <c r="A218" s="6" t="s">
        <v>341</v>
      </c>
      <c r="B218" s="15" t="s">
        <v>8</v>
      </c>
      <c r="C218" s="6">
        <v>1918</v>
      </c>
      <c r="D218" s="6">
        <v>1920</v>
      </c>
      <c r="E218" s="6"/>
      <c r="F218" s="6">
        <v>1</v>
      </c>
      <c r="G218" s="6"/>
      <c r="H218" s="6"/>
      <c r="I218" s="7">
        <f>SUM(E218:H218)</f>
        <v>1</v>
      </c>
      <c r="J218" s="8" t="s">
        <v>342</v>
      </c>
      <c r="K218" s="15"/>
    </row>
    <row r="219" spans="1:11" x14ac:dyDescent="0.35">
      <c r="A219" s="6" t="s">
        <v>343</v>
      </c>
      <c r="B219" s="15" t="s">
        <v>131</v>
      </c>
      <c r="C219" s="6">
        <v>1918</v>
      </c>
      <c r="D219" s="6">
        <v>1925</v>
      </c>
      <c r="E219" s="6">
        <v>58</v>
      </c>
      <c r="F219" s="6">
        <v>20</v>
      </c>
      <c r="G219" s="6"/>
      <c r="H219" s="6"/>
      <c r="I219" s="7">
        <f>SUM(E219:H219)</f>
        <v>78</v>
      </c>
      <c r="J219" s="8" t="s">
        <v>344</v>
      </c>
      <c r="K219" s="15"/>
    </row>
    <row r="220" spans="1:11" x14ac:dyDescent="0.35">
      <c r="A220" s="6" t="s">
        <v>345</v>
      </c>
      <c r="B220" s="15" t="s">
        <v>104</v>
      </c>
      <c r="C220" s="6">
        <v>1959</v>
      </c>
      <c r="D220" s="6">
        <v>1966</v>
      </c>
      <c r="E220" s="6">
        <v>8</v>
      </c>
      <c r="F220" s="6"/>
      <c r="G220" s="6"/>
      <c r="H220" s="6"/>
      <c r="I220" s="7">
        <f>SUM(E220:H220)</f>
        <v>8</v>
      </c>
      <c r="J220" s="8" t="s">
        <v>346</v>
      </c>
      <c r="K220" s="15"/>
    </row>
    <row r="221" spans="1:11" ht="29" x14ac:dyDescent="0.35">
      <c r="A221" s="6" t="s">
        <v>347</v>
      </c>
      <c r="B221" s="15" t="s">
        <v>104</v>
      </c>
      <c r="C221" s="6">
        <v>1964</v>
      </c>
      <c r="D221" s="6">
        <v>2015</v>
      </c>
      <c r="E221" s="6">
        <v>77</v>
      </c>
      <c r="F221" s="6"/>
      <c r="G221" s="6"/>
      <c r="H221" s="6"/>
      <c r="I221" s="7">
        <f>SUM(E221:H221)</f>
        <v>77</v>
      </c>
      <c r="J221" s="8" t="s">
        <v>348</v>
      </c>
      <c r="K221" s="15"/>
    </row>
    <row r="222" spans="1:11" ht="29" x14ac:dyDescent="0.35">
      <c r="A222" s="6" t="s">
        <v>401</v>
      </c>
      <c r="B222" s="15" t="s">
        <v>397</v>
      </c>
      <c r="C222" s="6">
        <v>1977</v>
      </c>
      <c r="D222" s="6">
        <v>1988</v>
      </c>
      <c r="E222" s="6">
        <v>1</v>
      </c>
      <c r="F222" s="6"/>
      <c r="G222" s="6"/>
      <c r="H222" s="6"/>
      <c r="I222" s="7">
        <f>SUM(E222:H222)</f>
        <v>1</v>
      </c>
      <c r="J222" s="8" t="s">
        <v>402</v>
      </c>
      <c r="K222" s="15"/>
    </row>
    <row r="223" spans="1:11" ht="58" x14ac:dyDescent="0.35">
      <c r="A223" s="6" t="s">
        <v>349</v>
      </c>
      <c r="B223" s="15" t="s">
        <v>350</v>
      </c>
      <c r="C223" s="6">
        <v>1943</v>
      </c>
      <c r="D223" s="6">
        <v>1954</v>
      </c>
      <c r="E223" s="6">
        <v>200</v>
      </c>
      <c r="F223" s="6"/>
      <c r="G223" s="6"/>
      <c r="H223" s="6"/>
      <c r="I223" s="7">
        <f>SUM(E223:H223)</f>
        <v>200</v>
      </c>
      <c r="J223" s="8" t="s">
        <v>351</v>
      </c>
      <c r="K223" s="15"/>
    </row>
    <row r="224" spans="1:11" ht="29" x14ac:dyDescent="0.35">
      <c r="A224" s="6" t="s">
        <v>352</v>
      </c>
      <c r="B224" s="15" t="s">
        <v>47</v>
      </c>
      <c r="C224" s="6">
        <v>1945</v>
      </c>
      <c r="D224" s="6">
        <v>1946</v>
      </c>
      <c r="E224" s="6"/>
      <c r="F224" s="6"/>
      <c r="G224" s="6">
        <v>10</v>
      </c>
      <c r="H224" s="6"/>
      <c r="I224" s="7">
        <f>SUM(E224:H224)</f>
        <v>10</v>
      </c>
      <c r="J224" s="8" t="s">
        <v>353</v>
      </c>
      <c r="K224" s="15"/>
    </row>
    <row r="225" spans="1:11" x14ac:dyDescent="0.35">
      <c r="A225" s="6" t="s">
        <v>354</v>
      </c>
      <c r="B225" s="15" t="s">
        <v>47</v>
      </c>
      <c r="C225" s="6">
        <v>1944</v>
      </c>
      <c r="D225" s="6">
        <v>1950</v>
      </c>
      <c r="E225" s="6"/>
      <c r="F225" s="6"/>
      <c r="G225" s="6">
        <v>2</v>
      </c>
      <c r="H225" s="6"/>
      <c r="I225" s="7">
        <f>SUM(E225:H225)</f>
        <v>2</v>
      </c>
      <c r="J225" s="8" t="s">
        <v>355</v>
      </c>
      <c r="K225" s="15"/>
    </row>
    <row r="226" spans="1:11" x14ac:dyDescent="0.35">
      <c r="A226" s="6" t="s">
        <v>356</v>
      </c>
      <c r="B226" s="15" t="s">
        <v>8</v>
      </c>
      <c r="C226" s="6">
        <v>1917</v>
      </c>
      <c r="D226" s="6">
        <v>1920</v>
      </c>
      <c r="E226" s="6"/>
      <c r="F226" s="6">
        <v>15</v>
      </c>
      <c r="G226" s="6"/>
      <c r="H226" s="6"/>
      <c r="I226" s="7">
        <f>SUM(E226:H226)</f>
        <v>15</v>
      </c>
      <c r="J226" s="8" t="s">
        <v>357</v>
      </c>
      <c r="K226" s="15"/>
    </row>
    <row r="227" spans="1:11" x14ac:dyDescent="0.35">
      <c r="A227" s="6" t="s">
        <v>358</v>
      </c>
      <c r="B227" s="15" t="s">
        <v>8</v>
      </c>
      <c r="C227" s="6">
        <v>1917</v>
      </c>
      <c r="D227" s="6">
        <v>1923</v>
      </c>
      <c r="E227" s="6"/>
      <c r="F227" s="6">
        <v>10</v>
      </c>
      <c r="G227" s="6"/>
      <c r="H227" s="6"/>
      <c r="I227" s="7">
        <f>SUM(E227:H227)</f>
        <v>10</v>
      </c>
      <c r="J227" s="8"/>
      <c r="K227" s="15"/>
    </row>
    <row r="228" spans="1:11" x14ac:dyDescent="0.35">
      <c r="A228" s="6" t="s">
        <v>360</v>
      </c>
      <c r="B228" s="15" t="s">
        <v>8</v>
      </c>
      <c r="C228" s="6">
        <v>1949</v>
      </c>
      <c r="D228" s="6">
        <v>1953</v>
      </c>
      <c r="E228" s="6"/>
      <c r="F228" s="6">
        <v>8</v>
      </c>
      <c r="G228" s="6"/>
      <c r="H228" s="6"/>
      <c r="I228" s="7">
        <f>SUM(E228:H228)</f>
        <v>8</v>
      </c>
      <c r="J228" s="8"/>
      <c r="K228" s="15"/>
    </row>
    <row r="229" spans="1:11" x14ac:dyDescent="0.35">
      <c r="A229" s="6" t="s">
        <v>359</v>
      </c>
      <c r="B229" s="15" t="s">
        <v>47</v>
      </c>
      <c r="C229" s="6">
        <v>1922</v>
      </c>
      <c r="D229" s="6">
        <v>1925</v>
      </c>
      <c r="E229" s="6"/>
      <c r="F229" s="6"/>
      <c r="G229" s="6">
        <v>10</v>
      </c>
      <c r="H229" s="6"/>
      <c r="I229" s="7">
        <f>SUM(E229:H229)</f>
        <v>10</v>
      </c>
      <c r="J229" s="8" t="s">
        <v>361</v>
      </c>
      <c r="K229" s="15"/>
    </row>
    <row r="230" spans="1:11" x14ac:dyDescent="0.35">
      <c r="A230" s="6" t="s">
        <v>362</v>
      </c>
      <c r="B230" s="15" t="s">
        <v>6</v>
      </c>
      <c r="C230" s="6">
        <v>1915</v>
      </c>
      <c r="D230" s="6">
        <v>1917</v>
      </c>
      <c r="E230" s="6">
        <v>1</v>
      </c>
      <c r="F230" s="6"/>
      <c r="G230" s="6"/>
      <c r="H230" s="6"/>
      <c r="I230" s="7">
        <f>SUM(E230:H230)</f>
        <v>1</v>
      </c>
      <c r="J230" s="8" t="s">
        <v>182</v>
      </c>
      <c r="K230" s="15"/>
    </row>
    <row r="231" spans="1:11" ht="29" x14ac:dyDescent="0.35">
      <c r="A231" s="6" t="s">
        <v>363</v>
      </c>
      <c r="B231" s="15" t="s">
        <v>8</v>
      </c>
      <c r="C231" s="6">
        <v>1942</v>
      </c>
      <c r="D231" s="6">
        <v>1942</v>
      </c>
      <c r="E231" s="6"/>
      <c r="F231" s="6">
        <v>24</v>
      </c>
      <c r="G231" s="6"/>
      <c r="H231" s="6"/>
      <c r="I231" s="7">
        <f>SUM(E231:H231)</f>
        <v>24</v>
      </c>
      <c r="J231" s="8" t="s">
        <v>364</v>
      </c>
      <c r="K231" s="15"/>
    </row>
    <row r="232" spans="1:11" ht="43.5" x14ac:dyDescent="0.35">
      <c r="A232" s="6" t="s">
        <v>365</v>
      </c>
      <c r="B232" s="15" t="s">
        <v>226</v>
      </c>
      <c r="C232" s="6">
        <v>1942</v>
      </c>
      <c r="D232" s="6">
        <v>1943</v>
      </c>
      <c r="E232" s="6">
        <v>60</v>
      </c>
      <c r="F232" s="6"/>
      <c r="G232" s="6"/>
      <c r="H232" s="6"/>
      <c r="I232" s="7">
        <f>SUM(E232:H232)</f>
        <v>60</v>
      </c>
      <c r="J232" s="8" t="s">
        <v>366</v>
      </c>
      <c r="K232" s="15"/>
    </row>
    <row r="233" spans="1:11" x14ac:dyDescent="0.35">
      <c r="A233" s="6" t="s">
        <v>367</v>
      </c>
      <c r="B233" s="15" t="s">
        <v>47</v>
      </c>
      <c r="C233" s="6">
        <v>1941</v>
      </c>
      <c r="D233" s="6">
        <v>1942</v>
      </c>
      <c r="E233" s="6"/>
      <c r="F233" s="6"/>
      <c r="G233" s="6">
        <v>1</v>
      </c>
      <c r="H233" s="6"/>
      <c r="I233" s="7">
        <f>SUM(E233:H233)</f>
        <v>1</v>
      </c>
      <c r="J233" s="8" t="s">
        <v>368</v>
      </c>
      <c r="K233" s="15"/>
    </row>
    <row r="234" spans="1:11" x14ac:dyDescent="0.35">
      <c r="A234" s="6" t="s">
        <v>369</v>
      </c>
      <c r="B234" s="15" t="s">
        <v>47</v>
      </c>
      <c r="C234" s="6">
        <v>1941</v>
      </c>
      <c r="D234" s="6">
        <v>1942</v>
      </c>
      <c r="E234" s="6"/>
      <c r="F234" s="6"/>
      <c r="G234" s="6">
        <v>1</v>
      </c>
      <c r="H234" s="6"/>
      <c r="I234" s="7">
        <f>SUM(E234:H234)</f>
        <v>1</v>
      </c>
      <c r="J234" s="8" t="s">
        <v>368</v>
      </c>
      <c r="K234" s="15"/>
    </row>
    <row r="235" spans="1:11" ht="29" x14ac:dyDescent="0.35">
      <c r="A235" s="6" t="s">
        <v>370</v>
      </c>
      <c r="B235" s="15" t="s">
        <v>8</v>
      </c>
      <c r="C235" s="6">
        <v>1976</v>
      </c>
      <c r="D235" s="6">
        <v>2012</v>
      </c>
      <c r="E235" s="6"/>
      <c r="F235" s="6">
        <v>24</v>
      </c>
      <c r="G235" s="6"/>
      <c r="H235" s="6"/>
      <c r="I235" s="7">
        <f>SUM(E235:H235)</f>
        <v>24</v>
      </c>
      <c r="J235" s="8" t="s">
        <v>371</v>
      </c>
      <c r="K235" s="15"/>
    </row>
    <row r="236" spans="1:11" ht="29" x14ac:dyDescent="0.35">
      <c r="A236" s="6" t="s">
        <v>372</v>
      </c>
      <c r="B236" s="15" t="s">
        <v>8</v>
      </c>
      <c r="C236" s="6">
        <v>1966</v>
      </c>
      <c r="D236" s="6">
        <v>1981</v>
      </c>
      <c r="E236" s="6"/>
      <c r="F236" s="6">
        <v>13</v>
      </c>
      <c r="G236" s="6"/>
      <c r="H236" s="6"/>
      <c r="I236" s="7">
        <f>SUM(E236:H236)</f>
        <v>13</v>
      </c>
      <c r="J236" s="8" t="s">
        <v>373</v>
      </c>
      <c r="K236" s="15"/>
    </row>
    <row r="237" spans="1:11" x14ac:dyDescent="0.35">
      <c r="A237" s="6" t="s">
        <v>374</v>
      </c>
      <c r="B237" s="15" t="s">
        <v>8</v>
      </c>
      <c r="C237" s="6">
        <v>1915</v>
      </c>
      <c r="D237" s="6">
        <v>1920</v>
      </c>
      <c r="E237" s="6"/>
      <c r="F237" s="6">
        <v>1</v>
      </c>
      <c r="G237" s="6"/>
      <c r="H237" s="6"/>
      <c r="I237" s="7">
        <f>SUM(E237:H237)</f>
        <v>1</v>
      </c>
      <c r="J237" s="8" t="s">
        <v>182</v>
      </c>
      <c r="K237" s="15"/>
    </row>
    <row r="238" spans="1:11" ht="29" x14ac:dyDescent="0.35">
      <c r="A238" s="6" t="s">
        <v>375</v>
      </c>
      <c r="B238" s="15" t="s">
        <v>47</v>
      </c>
      <c r="C238" s="6">
        <v>1945</v>
      </c>
      <c r="D238" s="6">
        <v>1946</v>
      </c>
      <c r="E238" s="6"/>
      <c r="F238" s="6"/>
      <c r="G238" s="6">
        <v>12</v>
      </c>
      <c r="H238" s="6"/>
      <c r="I238" s="7">
        <f>SUM(E238:H238)</f>
        <v>12</v>
      </c>
      <c r="J238" s="8" t="s">
        <v>376</v>
      </c>
      <c r="K238" s="15"/>
    </row>
    <row r="239" spans="1:11" x14ac:dyDescent="0.35">
      <c r="A239" s="6"/>
      <c r="B239" s="15"/>
      <c r="C239" s="6"/>
      <c r="D239" s="6"/>
      <c r="E239" s="6"/>
      <c r="F239" s="6"/>
      <c r="G239" s="6"/>
      <c r="H239" s="6"/>
      <c r="I239" s="7"/>
      <c r="J239" s="8"/>
      <c r="K239" s="15"/>
    </row>
    <row r="240" spans="1:11" ht="29" x14ac:dyDescent="0.35">
      <c r="A240" s="6"/>
      <c r="B240" s="15"/>
      <c r="C240" s="6"/>
      <c r="D240" s="6"/>
      <c r="E240" s="6"/>
      <c r="F240" s="6"/>
      <c r="G240" s="6"/>
      <c r="H240" s="6"/>
      <c r="I240" s="18">
        <f>SUM(I3:I239)</f>
        <v>6441</v>
      </c>
      <c r="J240" s="5" t="s">
        <v>410</v>
      </c>
      <c r="K240" s="15"/>
    </row>
    <row r="241" spans="1:11" x14ac:dyDescent="0.35">
      <c r="A241" s="6"/>
      <c r="B241" s="15"/>
      <c r="C241" s="6"/>
      <c r="D241" s="6"/>
      <c r="E241" s="6"/>
      <c r="F241" s="6"/>
      <c r="G241" s="6"/>
      <c r="H241" s="6"/>
      <c r="I241" s="7"/>
      <c r="J241" s="8"/>
      <c r="K241" s="15"/>
    </row>
    <row r="242" spans="1:11" x14ac:dyDescent="0.35">
      <c r="A242" s="6"/>
      <c r="B242" s="15"/>
      <c r="C242" s="6"/>
      <c r="D242" s="6"/>
      <c r="E242" s="6"/>
      <c r="F242" s="6"/>
      <c r="G242" s="6"/>
      <c r="H242" s="6"/>
      <c r="I242" s="7"/>
      <c r="J242" s="8"/>
      <c r="K242" s="15"/>
    </row>
    <row r="244" spans="1:11" ht="58" x14ac:dyDescent="0.35">
      <c r="K244" s="16" t="s">
        <v>409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Kreuger</dc:creator>
  <cp:lastModifiedBy>Bas Kreuger</cp:lastModifiedBy>
  <dcterms:created xsi:type="dcterms:W3CDTF">2025-09-18T12:35:38Z</dcterms:created>
  <dcterms:modified xsi:type="dcterms:W3CDTF">2025-10-17T11:15:43Z</dcterms:modified>
</cp:coreProperties>
</file>