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d5d8e6f015f0691e/Documents/GitHub/ML-infographic/public/"/>
    </mc:Choice>
  </mc:AlternateContent>
  <xr:revisionPtr revIDLastSave="1" documentId="13_ncr:1_{E5069769-6161-4F44-A440-F0D7FB326CAD}" xr6:coauthVersionLast="47" xr6:coauthVersionMax="47" xr10:uidLastSave="{BB0216B1-686C-4DD4-9719-90FCE862CF39}"/>
  <bookViews>
    <workbookView xWindow="-108" yWindow="-108" windowWidth="23256" windowHeight="12456" xr2:uid="{6F5C6569-2FC6-4B6F-93FB-F80BFAA41A43}"/>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4" i="1" l="1"/>
  <c r="I55" i="1"/>
  <c r="I221" i="1"/>
  <c r="I239" i="1"/>
  <c r="I209" i="1"/>
  <c r="I152" i="1"/>
  <c r="I106" i="1"/>
  <c r="I93" i="1"/>
  <c r="I38" i="1"/>
  <c r="M248" i="1"/>
  <c r="I41" i="1"/>
  <c r="I40" i="1"/>
  <c r="I182" i="1"/>
  <c r="I220" i="1"/>
  <c r="I26" i="1"/>
  <c r="I45" i="1"/>
  <c r="I139" i="1"/>
  <c r="I145" i="1"/>
  <c r="I3" i="1"/>
  <c r="I4" i="1"/>
  <c r="I5" i="1"/>
  <c r="I6" i="1"/>
  <c r="I7" i="1"/>
  <c r="I8" i="1"/>
  <c r="I9" i="1"/>
  <c r="I10" i="1"/>
  <c r="I11" i="1"/>
  <c r="I12" i="1"/>
  <c r="I13" i="1"/>
  <c r="I14" i="1"/>
  <c r="I15" i="1"/>
  <c r="I16" i="1"/>
  <c r="I17" i="1"/>
  <c r="I18" i="1"/>
  <c r="I19" i="1"/>
  <c r="I20" i="1"/>
  <c r="I21" i="1"/>
  <c r="I22" i="1"/>
  <c r="I23" i="1"/>
  <c r="I24" i="1"/>
  <c r="I25" i="1"/>
  <c r="I27" i="1"/>
  <c r="I28" i="1"/>
  <c r="I29" i="1"/>
  <c r="I30" i="1"/>
  <c r="I31" i="1"/>
  <c r="I32" i="1"/>
  <c r="I33" i="1"/>
  <c r="I34" i="1"/>
  <c r="I35" i="1"/>
  <c r="I36" i="1"/>
  <c r="I37" i="1"/>
  <c r="I39" i="1"/>
  <c r="I42" i="1"/>
  <c r="I43" i="1"/>
  <c r="I44" i="1"/>
  <c r="I46" i="1"/>
  <c r="I47" i="1"/>
  <c r="I48" i="1"/>
  <c r="I49" i="1"/>
  <c r="I50" i="1"/>
  <c r="I51" i="1"/>
  <c r="I52" i="1"/>
  <c r="I53" i="1"/>
  <c r="I54" i="1"/>
  <c r="I56" i="1"/>
  <c r="I57" i="1"/>
  <c r="I58" i="1"/>
  <c r="I59" i="1"/>
  <c r="I60" i="1"/>
  <c r="I61" i="1"/>
  <c r="I62" i="1"/>
  <c r="I63" i="1"/>
  <c r="I64" i="1"/>
  <c r="I65" i="1"/>
  <c r="I66" i="1"/>
  <c r="I67" i="1"/>
  <c r="I68" i="1"/>
  <c r="I69" i="1"/>
  <c r="I70" i="1"/>
  <c r="I71" i="1"/>
  <c r="I72" i="1"/>
  <c r="I73" i="1"/>
  <c r="I75" i="1"/>
  <c r="I76" i="1"/>
  <c r="I77" i="1"/>
  <c r="I78" i="1"/>
  <c r="I79" i="1"/>
  <c r="I80" i="1"/>
  <c r="I81" i="1"/>
  <c r="I82" i="1"/>
  <c r="I83" i="1"/>
  <c r="I84" i="1"/>
  <c r="I85" i="1"/>
  <c r="I86" i="1"/>
  <c r="I87" i="1"/>
  <c r="I88" i="1"/>
  <c r="I89" i="1"/>
  <c r="I90" i="1"/>
  <c r="I91" i="1"/>
  <c r="I92" i="1"/>
  <c r="I94" i="1"/>
  <c r="I95" i="1"/>
  <c r="I96" i="1"/>
  <c r="I97" i="1"/>
  <c r="I98" i="1"/>
  <c r="I99" i="1"/>
  <c r="I100" i="1"/>
  <c r="I101" i="1"/>
  <c r="I102" i="1"/>
  <c r="I103" i="1"/>
  <c r="I104" i="1"/>
  <c r="I105"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40" i="1"/>
  <c r="I141" i="1"/>
  <c r="I142" i="1"/>
  <c r="I143" i="1"/>
  <c r="I144" i="1"/>
  <c r="I146" i="1"/>
  <c r="I147" i="1"/>
  <c r="I148" i="1"/>
  <c r="I149" i="1"/>
  <c r="I150" i="1"/>
  <c r="I151"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10" i="1"/>
  <c r="I211" i="1"/>
  <c r="I212" i="1"/>
  <c r="I213" i="1"/>
  <c r="I214" i="1"/>
  <c r="I215" i="1"/>
  <c r="I216" i="1"/>
  <c r="I217" i="1"/>
  <c r="I218" i="1"/>
  <c r="I219" i="1"/>
  <c r="I222" i="1"/>
  <c r="I223" i="1"/>
  <c r="I224" i="1"/>
  <c r="I225" i="1"/>
  <c r="I226" i="1"/>
  <c r="I227" i="1"/>
  <c r="I228" i="1"/>
  <c r="I229" i="1"/>
  <c r="I230" i="1"/>
  <c r="I231" i="1"/>
  <c r="I232" i="1"/>
  <c r="I233" i="1"/>
  <c r="I234" i="1"/>
  <c r="I235" i="1"/>
  <c r="I236" i="1"/>
  <c r="I237" i="1"/>
  <c r="I238" i="1"/>
  <c r="I240" i="1"/>
  <c r="I241" i="1"/>
  <c r="I242" i="1"/>
  <c r="I243" i="1"/>
  <c r="I244" i="1"/>
  <c r="I245" i="1"/>
  <c r="I246" i="1"/>
  <c r="I24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tc={ABB9C9ED-4458-4B89-BDB7-EFF908FBA393}</author>
    <author>tc={D98A165D-63BA-47A3-81A1-F0EB433F21EF}</author>
    <author>tc={F4CFA7AE-931C-4CE0-A879-5B137BA8D397}</author>
    <author>tc={037F4B2C-3A25-4120-9E40-14610A8C3917}</author>
    <author>tc={6FCB54AF-40CC-4405-99ED-77A232C804D6}</author>
  </authors>
  <commentList>
    <comment ref="M1" authorId="0" shapeId="0" xr:uid="{ABB9C9ED-4458-4B89-BDB7-EFF908FBA393}">
      <text>
        <t>[Threaded comment]
Your version of Excel allows you to read this threaded comment; however, any edits to it will get removed if the file is opened in a newer version of Excel. Learn more: https://go.microsoft.com/fwlink/?linkid=870924
Comment:
    Inschatting mogelijke wrakken</t>
      </text>
    </comment>
    <comment ref="K53" authorId="1" shapeId="0" xr:uid="{D98A165D-63BA-47A3-81A1-F0EB433F21EF}">
      <text>
        <t>[Threaded comment]
Your version of Excel allows you to read this threaded comment; however, any edits to it will get removed if the file is opened in a newer version of Excel. Learn more: https://go.microsoft.com/fwlink/?linkid=870924
Comment:
    2 CW-21 (Hogenes en Halberstad) wellicht in zee bij Madoera (3/2/42). Kingma imde Madoera 3/2. Daar ook 2x Zero in het water. CW-21 347 op strand Madoera. 1 CW-21 noodlanding sawa Madoera.</t>
      </text>
    </comment>
    <comment ref="K76" authorId="2" shapeId="0" xr:uid="{F4CFA7AE-931C-4CE0-A879-5B137BA8D397}">
      <text>
        <t>[Threaded comment]
Your version of Excel allows you to read this threaded comment; however, any edits to it will get removed if the file is opened in a newer version of Excel. Learn more: https://go.microsoft.com/fwlink/?linkid=870924
Comment:
    F-2 Noordzee Margate, F9 vermist Noordzee, F-23 in zee Scheveningen, F-24 vermist Asjandmoro NI, F-27 neergeschoten nabij Madoera, K-41 in zee Noordwijk, K-45 in zee Ierland, K-50 in zee vanaf K Doorman, K-68 in zee NNG, K-70 in zee Noordwijk, K-71 noodlanding zee, K76 in zee Kijkduin, K-80 in zee Scheveningen, K-84 in zee Scheveningen, U-16 in zee Scheveningen</t>
      </text>
    </comment>
    <comment ref="O190" authorId="3" shapeId="0" xr:uid="{037F4B2C-3A25-4120-9E40-14610A8C3917}">
      <text>
        <t>[Threaded comment]
Your version of Excel allows you to read this threaded comment; however, any edits to it will get removed if the file is opened in a newer version of Excel. Learn more: https://go.microsoft.com/fwlink/?linkid=870924
Comment:
    320 SQ MLD Crash land: 1 Bourdon (F) 4 KIA - 1 Billeville (F) 2 KIA - 1 Grimbosq - 2 UK Pict Hall 8 KIA - 1 Gran Parc 4 KIA - 1 UK crashlanding - 1 BEL 2 KIA - 1 Melsbroek - 1 UK - 1 Vivra 4 KIA - 1 4 KIA - 1 Fontainblue 4 KIA - 1 Schotland - 1 Chatequ Ansenne 4 KIA - 1 Lisieuz 4 KIA - 1 Meise Korenberg - 1 Tirelemort 5 KIA - 1 Manderfelt 4 KIA - 1 Falaise 4 KIA [] Zee: 1 NNW Dieppe - 1 53.50N 04.55O 4 KIA - 1 52.00N 02.32O - 1 ATL OC Groenl naar UK - 1 Onbk 4 KIA - 1 50.21N 00.45O - 1 Cayeux - 1 50.33N 00.58O - 1 Channel - 1 ATL OC Groenl naar Ijsl 3 KIA
Reply:
    Noodlevering 1942: N5-140 (1e reg) verloren ferry Accra / N5-148 verloren PRU missie [] 18 SQ MLKNIL: N5-128 crash Biak / N5-132 crash 3 mi MacDonald / N5-133 noodlanding Melville Island / N5-135 neergeschoten bij Dobo eilanden 5KIA / N5-136 neergeschoten Waingapu 5 KIA / N5-137 neergeschoten Tenau Timor 5KIA / N5-139 crash nabij Darwin, in museum? / N5-140 ditching zee Darwin 5KIA gevonden in jaren 70 / N5-141 crash Macot Sydney geen wrak meer / N5-144 ditching Dili Timor 2KIA / N5-145 crash Batchelor geen wrak / N5-147 ditching Saumlaki NNG 6KIA / N5-150 ditching Villa Nova Lautem Timor 5KIA / N5-152 crash Batchelor geen wrak / N5-153 crash Batchelor geen wrak / N5-155 crash Banks geen wrak / N5-156 Darwin geen wrak / N5-157 Darwin geen wrak / N5-159 verdwenen Aroe eilanden 5KIA / N5-161 crash Drysdale River geen wrak / N5-162 neergeschoten Kai eilanden 6KIA / N5-167 explosie Batchelore geen wrak / N5-169 neergeschoten Larat Molukken 6KIA / N5-174 verdwenen ferry Biak / N5-176 ditching Darwin 6KIA wrak 1987 / N5-177 Neergeschoten Saumlaki Molukken 6KIA  / N5-179 vermist Toel Molukken 6KIA / N5-182 crash Swan Hill geen wrak / N5-185 crash in zee wrak? / N5-191 ditching bij Hawai 4KIA / N5-209 crash Kroja geen wrak / N5-210 neergeschoten Langoer eilanden 6 KIA / N5-211 crash Batchelor geen wrak / N5-214 neergeschoten Langoer eilanden 6 KIA / N5-222 neergeschoten Langoer eilanden 6KIA / N5-230 neergeschoten Kalibanteng Semarang / N5-236 crash Merauke geen wrak / N5-245 crash Andir geen wrak / N5-252 neergeschoten Palembang / N5-253 verbrand Archerfield geen wrak / N5-254 ditching Regent river 1 MIO / N5-255 crash Malino / N5-261 ditching Morortai - Makassar 2KIA / N5-265 ditching Ambon - Biak / N%-299 crash nabij Tokio 1948 geen wrak</t>
      </text>
    </comment>
    <comment ref="K230" authorId="4" shapeId="0" xr:uid="{6FCB54AF-40CC-4405-99ED-77A232C804D6}">
      <text>
        <t>[Threaded comment]
Your version of Excel allows you to read this threaded comment; however, any edits to it will get removed if the file is opened in a newer version of Excel. Learn more: https://go.microsoft.com/fwlink/?linkid=870924
Comment:
    Presentatie Spitfires: 116 stuks. MkIIb: 1 nog in Canadian War Museum (Soebang) en 10 mogelijke wrakken (zie boek HvdM). MkVa en b: 1 toestel in AAM Duxford en 23 mogelijke wrakken.
322 Spitfires: 33 toestellen nader te onderzoeken want naar buitenland verkocht en lot (nog) onbekend. 21 mogelijke wrakken want oha boven land neergeschoten of gecrasht. 9 toestellen zeer waarschijnlijke wrakken want boven water neergeschoten of geditched.
Klu Spitfires na WOII:
1 mogelijk wrak.
Spitfires 322 in Indië: 2 mogelijke wrakken.
Van de NL Spitfires in 2015 18 bekende survivors.
MJ143 in collectie NMM - meegevlogen Dday 1944</t>
      </text>
    </comment>
  </commentList>
</comments>
</file>

<file path=xl/sharedStrings.xml><?xml version="1.0" encoding="utf-8"?>
<sst xmlns="http://schemas.openxmlformats.org/spreadsheetml/2006/main" count="1238" uniqueCount="606">
  <si>
    <t>Typenaam</t>
  </si>
  <si>
    <t>Gebruikers</t>
  </si>
  <si>
    <t>Jaar invoering</t>
  </si>
  <si>
    <t>Jaar uit dienst</t>
  </si>
  <si>
    <t>Totaal</t>
  </si>
  <si>
    <t>Bijzonderheden</t>
  </si>
  <si>
    <t>LVA</t>
  </si>
  <si>
    <t>Neergestort SSB</t>
  </si>
  <si>
    <t>MLD</t>
  </si>
  <si>
    <t>KLU</t>
  </si>
  <si>
    <t>Augusta Bell 412SP</t>
  </si>
  <si>
    <t>Verkocht naar Peru</t>
  </si>
  <si>
    <t>Airco DeHavilland DH-4</t>
  </si>
  <si>
    <t>Afgevoerd</t>
  </si>
  <si>
    <t>LVA - MLKNIL</t>
  </si>
  <si>
    <t>afgevoerd</t>
  </si>
  <si>
    <t>Afgevoerd - na crashes gesloopt</t>
  </si>
  <si>
    <r>
      <t xml:space="preserve">LA afgevoerd - MLKNIL enkele ongelukken </t>
    </r>
    <r>
      <rPr>
        <sz val="11"/>
        <color rgb="FFFF0000"/>
        <rFont val="Aptos Narrow"/>
        <family val="2"/>
        <scheme val="minor"/>
      </rPr>
      <t>onderzoek</t>
    </r>
  </si>
  <si>
    <t>LSK - Klu - MLD</t>
  </si>
  <si>
    <t>LSK</t>
  </si>
  <si>
    <t>KLu</t>
  </si>
  <si>
    <t>heden</t>
  </si>
  <si>
    <t>Toestel Prins Bernard vernield bombardement Evere</t>
  </si>
  <si>
    <t>Airco DeHavilland DH-9</t>
  </si>
  <si>
    <t xml:space="preserve">Airspeed AS-10 Oxford MkII </t>
  </si>
  <si>
    <t xml:space="preserve">Albatros B.I </t>
  </si>
  <si>
    <t xml:space="preserve">Albatros B.II </t>
  </si>
  <si>
    <t xml:space="preserve">Albatros B.III </t>
  </si>
  <si>
    <t xml:space="preserve">Albatros C.VII </t>
  </si>
  <si>
    <t xml:space="preserve">Albatros C.III </t>
  </si>
  <si>
    <t xml:space="preserve">Albatros C.X </t>
  </si>
  <si>
    <t xml:space="preserve">Albatros D.III </t>
  </si>
  <si>
    <t>Ansaldo SVA-10</t>
  </si>
  <si>
    <t xml:space="preserve">Aviatik C.III </t>
  </si>
  <si>
    <t>AVRO 504</t>
  </si>
  <si>
    <t>AVRO Type 652A Anson Mk I</t>
  </si>
  <si>
    <t>Beechcraft AT-11 Kansan</t>
  </si>
  <si>
    <t>Beechcraft Model 17</t>
  </si>
  <si>
    <t>Beechcraft Model 18</t>
  </si>
  <si>
    <t>Boeing-Vertol CH-47D/F Chinook</t>
  </si>
  <si>
    <t>2 neergestort nrs 223 en 224 wrakken geborgen</t>
  </si>
  <si>
    <t>MLKNIL</t>
  </si>
  <si>
    <t>Breguet BR.1150 Atlantic</t>
  </si>
  <si>
    <t>Brewster B.339 Buffalo</t>
  </si>
  <si>
    <r>
      <t xml:space="preserve">24 C en 48 D variant waarvan 14 afgeschreven (gesloopt), minstens 4 in Japanse handen , 10 stuks neergeschoten/verongelukt en 6 niet afgeleverd en naar RAAF/USAAF gegaan - </t>
    </r>
    <r>
      <rPr>
        <sz val="11"/>
        <color rgb="FFFF0000"/>
        <rFont val="Aptos Narrow"/>
        <family val="2"/>
        <scheme val="minor"/>
      </rPr>
      <t>onderzoek</t>
    </r>
  </si>
  <si>
    <t>Ml - MLKNIL</t>
  </si>
  <si>
    <r>
      <t xml:space="preserve">ML overgenomen Luftwaffe - MLKNIL opleiding ook ongelukken </t>
    </r>
    <r>
      <rPr>
        <sz val="11"/>
        <color rgb="FFFF0000"/>
        <rFont val="Aptos Narrow"/>
        <family val="2"/>
        <scheme val="minor"/>
      </rPr>
      <t>onderzoek</t>
    </r>
  </si>
  <si>
    <t>Bristol F2B Fighter</t>
  </si>
  <si>
    <t>Bücker Bü-131 Jungmann</t>
  </si>
  <si>
    <r>
      <t>21 in Indië 1 neergestort Javazee (</t>
    </r>
    <r>
      <rPr>
        <sz val="11"/>
        <color rgb="FFFF0000"/>
        <rFont val="Aptos Narrow"/>
        <family val="2"/>
        <scheme val="minor"/>
      </rPr>
      <t>geborgen</t>
    </r>
    <r>
      <rPr>
        <sz val="11"/>
        <color theme="1"/>
        <rFont val="Aptos Narrow"/>
        <family val="2"/>
        <scheme val="minor"/>
      </rPr>
      <t>?) en 20 in NL afgeschreven</t>
    </r>
  </si>
  <si>
    <t>Van Berkel WA</t>
  </si>
  <si>
    <t>Afgeschreven</t>
  </si>
  <si>
    <t>Van Berkel WB</t>
  </si>
  <si>
    <t>Caudron G.IV</t>
  </si>
  <si>
    <t xml:space="preserve">Commonwhealth CA-6 Wackett </t>
  </si>
  <si>
    <t xml:space="preserve">Consolidated B-24D &amp; -J Liberator </t>
  </si>
  <si>
    <t xml:space="preserve">Consolidated PBY-5/5A Catalina </t>
  </si>
  <si>
    <r>
      <t xml:space="preserve">Inzet en verliezen? </t>
    </r>
    <r>
      <rPr>
        <sz val="11"/>
        <color rgb="FFFF0000"/>
        <rFont val="Aptos Narrow"/>
        <family val="2"/>
        <scheme val="minor"/>
      </rPr>
      <t>Onderzoek</t>
    </r>
  </si>
  <si>
    <t xml:space="preserve">Curtiss H-12 </t>
  </si>
  <si>
    <t xml:space="preserve">Curtiss Hawk 75A-7 </t>
  </si>
  <si>
    <t>Curtiss P-40 Warhawk &amp; Kittyhawk</t>
  </si>
  <si>
    <r>
      <t xml:space="preserve">Allen verloren gegaan Java - </t>
    </r>
    <r>
      <rPr>
        <sz val="11"/>
        <color rgb="FFFF0000"/>
        <rFont val="Aptos Narrow"/>
        <family val="2"/>
        <scheme val="minor"/>
      </rPr>
      <t>Onderzoek</t>
    </r>
    <r>
      <rPr>
        <sz val="11"/>
        <color theme="1"/>
        <rFont val="Aptos Narrow"/>
        <family val="2"/>
        <scheme val="minor"/>
      </rPr>
      <t xml:space="preserve"> </t>
    </r>
  </si>
  <si>
    <t>Curtiss-Wright CW-21B Interceptor</t>
  </si>
  <si>
    <t xml:space="preserve">Curtiss-Wright CW-22 Falcon </t>
  </si>
  <si>
    <t xml:space="preserve">DeHavilland Canada DHC-2 Beaver </t>
  </si>
  <si>
    <t>Wrak - museaal - vliegend</t>
  </si>
  <si>
    <t>Augusta Bell UH1</t>
  </si>
  <si>
    <t>AEG C-IV</t>
  </si>
  <si>
    <t>De S-6 collectie NMM, de S-9 collectie SHVK</t>
  </si>
  <si>
    <t>DeHavilland DH-82 Tiger Moth</t>
  </si>
  <si>
    <t>Klu - MLD</t>
  </si>
  <si>
    <t xml:space="preserve">DeHavilland DH-89B Dominie </t>
  </si>
  <si>
    <t xml:space="preserve">DFW C.V </t>
  </si>
  <si>
    <t>Uit dienst onzeker</t>
  </si>
  <si>
    <t>Dornier Do-24K</t>
  </si>
  <si>
    <t>Zie pilot DO24 voor meer details - 6 gevonden wrakken - 19 mogelijk nog in Indonesië</t>
  </si>
  <si>
    <t>Dornier Wal</t>
  </si>
  <si>
    <r>
      <t xml:space="preserve">In verschillende uitvoeringen - tenminste 36 in NL gebouwd - tenminste 5 crashes, ongelukken en neergeschoten </t>
    </r>
    <r>
      <rPr>
        <sz val="11"/>
        <color rgb="FFFF0000"/>
        <rFont val="Aptos Narrow"/>
        <family val="2"/>
        <scheme val="minor"/>
      </rPr>
      <t>Onderzoek</t>
    </r>
    <r>
      <rPr>
        <sz val="11"/>
        <color theme="1"/>
        <rFont val="Aptos Narrow"/>
        <family val="2"/>
        <scheme val="minor"/>
      </rPr>
      <t xml:space="preserve">  </t>
    </r>
  </si>
  <si>
    <t>Douglas C-54 Skymaster</t>
  </si>
  <si>
    <t>Deels overgegaan naar de KLM</t>
  </si>
  <si>
    <t>Douglas DB-7/A20 Boston</t>
  </si>
  <si>
    <t>MLD - MLKNIL</t>
  </si>
  <si>
    <t>Douglas DB-8A/3N</t>
  </si>
  <si>
    <t>Douglas DC-2</t>
  </si>
  <si>
    <t>In dienst bij 1316 Dutch Communications Flight</t>
  </si>
  <si>
    <t>Douglas DC-3/C-47</t>
  </si>
  <si>
    <t>Eurocopter AS.532 Cougar U2</t>
  </si>
  <si>
    <t>Klu</t>
  </si>
  <si>
    <t>Fairey Barracuda Mk. II/III</t>
  </si>
  <si>
    <t>Bij 860 Sq FAA - geleende toestellen van de RAF</t>
  </si>
  <si>
    <t>Fairey Firefly</t>
  </si>
  <si>
    <r>
      <t xml:space="preserve">30 MkI wv 6 neergeschoten of vermist -  39 MkIV wv 3 verongelukt op zee - 18 MkV wv 1 in zee - 7 TMkI en V - </t>
    </r>
    <r>
      <rPr>
        <sz val="11"/>
        <color rgb="FFFF0000"/>
        <rFont val="Aptos Narrow"/>
        <family val="2"/>
        <scheme val="minor"/>
      </rPr>
      <t>onderzoek</t>
    </r>
  </si>
  <si>
    <t>Fairey IIID</t>
  </si>
  <si>
    <t>Boordvliegtuigen NOI</t>
  </si>
  <si>
    <t>Fairy Swordfish</t>
  </si>
  <si>
    <t>Farman HF-20 en HF-22</t>
  </si>
  <si>
    <t>LVA - MLD - MLKNIL</t>
  </si>
  <si>
    <t>Veel ongelukken - allen afgeschreven - deels overlap toestellen LVA - MLD - MLKNIL</t>
  </si>
  <si>
    <t>Farman MF-40</t>
  </si>
  <si>
    <t>Geinterneerd - afgeschreven</t>
  </si>
  <si>
    <t>Felixstowe F2A</t>
  </si>
  <si>
    <t>Geinterneerd - weinig van bekend</t>
  </si>
  <si>
    <t>Focke-Wulf FW-56 Stösser</t>
  </si>
  <si>
    <t>Oorlogsbuit</t>
  </si>
  <si>
    <t>Focke-Wulf FW-58B-2 Weihe</t>
  </si>
  <si>
    <t>ML</t>
  </si>
  <si>
    <t>Verloren bij bombardementen - 1 in zee Texel</t>
  </si>
  <si>
    <t>Fokker 50</t>
  </si>
  <si>
    <t>Fokker 60</t>
  </si>
  <si>
    <t xml:space="preserve">Fokker A.1 (M.8) </t>
  </si>
  <si>
    <t>Geinterneerd</t>
  </si>
  <si>
    <t>Fokker B1.</t>
  </si>
  <si>
    <t xml:space="preserve">Fokker C.I </t>
  </si>
  <si>
    <t>LVA - MLD</t>
  </si>
  <si>
    <t xml:space="preserve">Fokker C.IV </t>
  </si>
  <si>
    <t>Fokker C.IX</t>
  </si>
  <si>
    <t>1 in Duitse handen (?)</t>
  </si>
  <si>
    <t xml:space="preserve">Fokker C.VIII </t>
  </si>
  <si>
    <t>Fokker C.VIIIw</t>
  </si>
  <si>
    <t>Fokker C.VIIw</t>
  </si>
  <si>
    <t>Fokker C.X</t>
  </si>
  <si>
    <t>Fokker C.XIVw</t>
  </si>
  <si>
    <t>Fokker C.XIw</t>
  </si>
  <si>
    <t>Fokker D.C.I</t>
  </si>
  <si>
    <t xml:space="preserve">Fokker D.III </t>
  </si>
  <si>
    <t>Fokker D.VII</t>
  </si>
  <si>
    <t>Fokker D.XVI</t>
  </si>
  <si>
    <t>Fokker D.XVII</t>
  </si>
  <si>
    <t>Fokker D.XXI</t>
  </si>
  <si>
    <t>ML - MLKNIL</t>
  </si>
  <si>
    <t>Fokker F.27</t>
  </si>
  <si>
    <t>Fokker F.VII/3m</t>
  </si>
  <si>
    <t>Fokker G.1</t>
  </si>
  <si>
    <t>Fokker S.11 Instructor</t>
  </si>
  <si>
    <t>Fokker S.14 Machtrainer</t>
  </si>
  <si>
    <t>Fokker S.II</t>
  </si>
  <si>
    <t>Fokker S.III</t>
  </si>
  <si>
    <t>Fokker S.IV</t>
  </si>
  <si>
    <t>Fokker S.IX</t>
  </si>
  <si>
    <t>ML - MLD</t>
  </si>
  <si>
    <t>Fokker T.IVw</t>
  </si>
  <si>
    <t>Fokker T.V</t>
  </si>
  <si>
    <t>Fokker T. VIIIw</t>
  </si>
  <si>
    <t>Friedrichshafen FF.19</t>
  </si>
  <si>
    <t>Friedrichshafen FF.29</t>
  </si>
  <si>
    <t>Friedrichshafen FF.33</t>
  </si>
  <si>
    <t>Friedrichshafen FF.49</t>
  </si>
  <si>
    <t>geinterneerd</t>
  </si>
  <si>
    <t>Friedrichshafen G-III</t>
  </si>
  <si>
    <t>Gloster Meteor F.Mk.4, F.Mk.8 &amp; T.Mk.7</t>
  </si>
  <si>
    <t>Gulfstream G.IV</t>
  </si>
  <si>
    <t>Oudste type al afgevoerd, nog één in gebruik</t>
  </si>
  <si>
    <t>Gotha WD-11</t>
  </si>
  <si>
    <t>Geinterneerd. Nooit gebruikt</t>
  </si>
  <si>
    <t>General Dynamics F-16</t>
  </si>
  <si>
    <t>General Atomics MQ-9</t>
  </si>
  <si>
    <t>Onbemand toestel</t>
  </si>
  <si>
    <t>Grumman TBM-3 Avenger</t>
  </si>
  <si>
    <t>Halberstadt CL.II</t>
  </si>
  <si>
    <t>Halberstadt CL.IV</t>
  </si>
  <si>
    <t>Handley Page O/400</t>
  </si>
  <si>
    <t>Hannover CL.II</t>
  </si>
  <si>
    <t>Hansa Brandenburg W.12</t>
  </si>
  <si>
    <t>Aantal Klu</t>
  </si>
  <si>
    <t>Aantal MLD</t>
  </si>
  <si>
    <t>Aantal MLKNIL</t>
  </si>
  <si>
    <t>geinterneerd - voorbeeld voor de Van Berkel WA</t>
  </si>
  <si>
    <t>Hansa Brandenburg W.29</t>
  </si>
  <si>
    <t>Hawker Hunter Mk4 - Mk6 - Mk7</t>
  </si>
  <si>
    <r>
      <t xml:space="preserve">96/93/20 van elk type -  1 nog in </t>
    </r>
    <r>
      <rPr>
        <sz val="11"/>
        <color rgb="FFFF0000"/>
        <rFont val="Aptos Narrow"/>
        <family val="2"/>
        <scheme val="minor"/>
      </rPr>
      <t>Biak</t>
    </r>
    <r>
      <rPr>
        <sz val="11"/>
        <color theme="1"/>
        <rFont val="Aptos Narrow"/>
        <family val="2"/>
        <scheme val="minor"/>
      </rPr>
      <t xml:space="preserve">? - 1 in zee </t>
    </r>
    <r>
      <rPr>
        <sz val="11"/>
        <color rgb="FFFF0000"/>
        <rFont val="Aptos Narrow"/>
        <family val="2"/>
        <scheme val="minor"/>
      </rPr>
      <t>Geelvinckbaai</t>
    </r>
    <r>
      <rPr>
        <sz val="11"/>
        <color theme="1"/>
        <rFont val="Aptos Narrow"/>
        <family val="2"/>
        <scheme val="minor"/>
      </rPr>
      <t xml:space="preserve"> NG - van elk type 1 in collectie NMM </t>
    </r>
  </si>
  <si>
    <t>Hawker Hurricane Mk II</t>
  </si>
  <si>
    <r>
      <t xml:space="preserve">Ca 12 van de 39 op Java aangekomen toestellen bij ML gebruikt. Lot zeer onduidelijk. Wellicht wrakdelen op Java </t>
    </r>
    <r>
      <rPr>
        <sz val="11"/>
        <color rgb="FFFF0000"/>
        <rFont val="Aptos Narrow"/>
        <family val="2"/>
        <scheme val="minor"/>
      </rPr>
      <t>aanwezig</t>
    </r>
    <r>
      <rPr>
        <sz val="11"/>
        <color theme="1"/>
        <rFont val="Aptos Narrow"/>
        <family val="2"/>
        <scheme val="minor"/>
      </rPr>
      <t xml:space="preserve">. </t>
    </r>
  </si>
  <si>
    <t>Hawker Sea Fury Mk 50 Mk 60 en Mk 11</t>
  </si>
  <si>
    <t>Donatie Fokker, geen serie aangekocht</t>
  </si>
  <si>
    <t>Hawker Seahawk FGA.50</t>
  </si>
  <si>
    <t>Hiller H-23 Raven</t>
  </si>
  <si>
    <t>Koolhoven FK.31</t>
  </si>
  <si>
    <t>Koolhoven FK.43</t>
  </si>
  <si>
    <t>Koolhoven FK.49</t>
  </si>
  <si>
    <t>Koolhoven FK.51</t>
  </si>
  <si>
    <t>ML - MLD - MLKNIL</t>
  </si>
  <si>
    <t>Koolhoven FK.52</t>
  </si>
  <si>
    <t>Koolhoven FK.56</t>
  </si>
  <si>
    <t>Net afgeleverd, allen vernietigd</t>
  </si>
  <si>
    <t>Lockheed Model 12 / 212 / 14</t>
  </si>
  <si>
    <t>Lockheed C-130 Hercules</t>
  </si>
  <si>
    <t>Twee versies, elk 2 toestellen</t>
  </si>
  <si>
    <t>Lockheed F-35A</t>
  </si>
  <si>
    <t>Lockheed F104G / TF-104G</t>
  </si>
  <si>
    <r>
      <t>Fighter en Trainer - veel crashes waarvan zeker 5 in zee (</t>
    </r>
    <r>
      <rPr>
        <sz val="11"/>
        <color rgb="FFFF0000"/>
        <rFont val="Aptos Narrow"/>
        <family val="2"/>
        <scheme val="minor"/>
      </rPr>
      <t>geborgen</t>
    </r>
    <r>
      <rPr>
        <sz val="11"/>
        <color theme="1"/>
        <rFont val="Aptos Narrow"/>
        <family val="2"/>
        <scheme val="minor"/>
      </rPr>
      <t>?) Meerdere in collectie NMM en Aviodrome en andere musea</t>
    </r>
  </si>
  <si>
    <t>Lockheed Harpoon PV-2</t>
  </si>
  <si>
    <t>Lockheed Hudson</t>
  </si>
  <si>
    <t>LSK - MLD</t>
  </si>
  <si>
    <t>Lockheed L-18 Lodestar</t>
  </si>
  <si>
    <t>Lockheed Neptune SP-2H</t>
  </si>
  <si>
    <t>Lockheed Orion P-3C</t>
  </si>
  <si>
    <t>Lockheed T-33</t>
  </si>
  <si>
    <t>LVG B.II</t>
  </si>
  <si>
    <t>LVG B.I</t>
  </si>
  <si>
    <t>LVG C.VI</t>
  </si>
  <si>
    <t>VanMeel</t>
  </si>
  <si>
    <t>1e toestellen LVA</t>
  </si>
  <si>
    <t>Glenn Martin WH-1, WH-2 en WH-3 en 3a</t>
  </si>
  <si>
    <t>Martin Mariner PBM-5</t>
  </si>
  <si>
    <t>Martin R</t>
  </si>
  <si>
    <t>Martin S</t>
  </si>
  <si>
    <t>Martin TA</t>
  </si>
  <si>
    <t>Martin TT</t>
  </si>
  <si>
    <t>McDonnell Douglas AH-64 Apache</t>
  </si>
  <si>
    <t>Messerschmitt Me-108 Taifun</t>
  </si>
  <si>
    <t>Door de Japanners buitgemaakt en in 1945 nog op Sumatra gezien</t>
  </si>
  <si>
    <t>McDonnell Douglas (K)DC-10</t>
  </si>
  <si>
    <t>2 tankers en 1 transportkist</t>
  </si>
  <si>
    <t>Miles Hawk</t>
  </si>
  <si>
    <t>gevorderde machine</t>
  </si>
  <si>
    <t>Mitsubishi Ki.21</t>
  </si>
  <si>
    <t>Ingezet voor RAPWI vluchten "Ahrens Airlines"</t>
  </si>
  <si>
    <t>Mitsubishi Ki.57</t>
  </si>
  <si>
    <t>Morane Saulnier AR</t>
  </si>
  <si>
    <t>Morane Saulnier L</t>
  </si>
  <si>
    <t>MBB Bolkow BO-105CB</t>
  </si>
  <si>
    <t>NHI NH90</t>
  </si>
  <si>
    <t>MLD - DHC</t>
  </si>
  <si>
    <t>Auster AOP</t>
  </si>
  <si>
    <t>LSK - Klu - MLD - MLKNIL</t>
  </si>
  <si>
    <t>Aeronca L-3</t>
  </si>
  <si>
    <t>Ops Antillen</t>
  </si>
  <si>
    <t>Nieuport 11 / 17</t>
  </si>
  <si>
    <t>1 geinterneerd en 20 gebouwd door Spijker</t>
  </si>
  <si>
    <t>Nieuport 21</t>
  </si>
  <si>
    <t>Nieuport 23</t>
  </si>
  <si>
    <t>Noorduyn Norseman</t>
  </si>
  <si>
    <t>North American P-51 D/K</t>
  </si>
  <si>
    <t>1 USAAF P-51K in NMM is niet MLKNIL</t>
  </si>
  <si>
    <t>North American B-25 Mitchell</t>
  </si>
  <si>
    <t>North American F-86K Sabre</t>
  </si>
  <si>
    <t>Klu - MLD - MLKNIL</t>
  </si>
  <si>
    <r>
      <t xml:space="preserve">29 toestellen bij de RNMFS in de VS - 67 bij 320Sq RAF in WOII -  28 aangekocht voor de MLD na 1945 waarvan 16 vliegend - 145 toestellen bij de MLKNIL bij 18 Sq en het PEP. Veel bewaarde toestellen (Overloon - NMM - AUS) en bekende wrakken. </t>
    </r>
    <r>
      <rPr>
        <sz val="11"/>
        <color rgb="FFFF0000"/>
        <rFont val="Aptos Narrow"/>
        <family val="2"/>
        <scheme val="minor"/>
      </rPr>
      <t xml:space="preserve">Onderzoek naar mogelijke wrakken doen. </t>
    </r>
  </si>
  <si>
    <t>North American NA-16</t>
  </si>
  <si>
    <t>Aangekocht 1939 vernietigd Mei 1940</t>
  </si>
  <si>
    <t>Northrop NF-5</t>
  </si>
  <si>
    <t>75 singe seat en 30 trainers - zeker vijf in NL als museum/instructie</t>
  </si>
  <si>
    <t>Pander D</t>
  </si>
  <si>
    <t>Percival Proctor</t>
  </si>
  <si>
    <t>Pfalz D.IIIa</t>
  </si>
  <si>
    <t>Pilatus PC-7</t>
  </si>
  <si>
    <t>Piper L-4/18/21 Super Cub</t>
  </si>
  <si>
    <t>Porterfield 35-70</t>
  </si>
  <si>
    <t>Bij Aeroclub Aruba gebruikt voor patrouilles</t>
  </si>
  <si>
    <t>R.A.F Be.2</t>
  </si>
  <si>
    <t>R.A.F SE.5a</t>
  </si>
  <si>
    <t>Republic F-84 E/G Thunderjet</t>
  </si>
  <si>
    <t>Republic F-84F Thunderstreak</t>
  </si>
  <si>
    <t>Republic RF-84F Thunderflash</t>
  </si>
  <si>
    <t>Robert-Esnault-Pelterie REP-2</t>
  </si>
  <si>
    <t>Rumpler C.1 / C.1a</t>
  </si>
  <si>
    <t>Rumpler 6.B2</t>
  </si>
  <si>
    <t>Rumpler C.8 / (C.VIII)</t>
  </si>
  <si>
    <t>Ryan STM</t>
  </si>
  <si>
    <t>SAGEM Sperwer</t>
  </si>
  <si>
    <r>
      <t>Onbemande verkenner - oa ingezet in Afghanistan waar enkele zijn neergestort (</t>
    </r>
    <r>
      <rPr>
        <sz val="11"/>
        <color rgb="FFFF0000"/>
        <rFont val="Aptos Narrow"/>
        <family val="2"/>
        <scheme val="minor"/>
      </rPr>
      <t>geborgen</t>
    </r>
    <r>
      <rPr>
        <sz val="11"/>
        <color theme="1"/>
        <rFont val="Aptos Narrow"/>
        <family val="2"/>
        <scheme val="minor"/>
      </rPr>
      <t>?)</t>
    </r>
  </si>
  <si>
    <t>Schweizer 330</t>
  </si>
  <si>
    <t>training in Aruba voor de Marine</t>
  </si>
  <si>
    <t>Short type 184</t>
  </si>
  <si>
    <t>Sikorsky S-51</t>
  </si>
  <si>
    <t>Sikorsky S-55</t>
  </si>
  <si>
    <t>Sikorsky S-58</t>
  </si>
  <si>
    <t>2 in zee Gibralter 1 in zee Schotland 1 in NMM (de 134)</t>
  </si>
  <si>
    <t>Sopwith Pup</t>
  </si>
  <si>
    <t>Sopwith Strutter 1 1/2</t>
  </si>
  <si>
    <t>Spad S.7</t>
  </si>
  <si>
    <t>Spijker V.1</t>
  </si>
  <si>
    <t>Spijker V.2</t>
  </si>
  <si>
    <t>Sud Aviation Alouette 2</t>
  </si>
  <si>
    <t>Sud Aviation Alouette 3</t>
  </si>
  <si>
    <t>Supermarine Spitfire</t>
  </si>
  <si>
    <t>LSK - Klu</t>
  </si>
  <si>
    <t>Tachikawa Ki-54 "Hickory</t>
  </si>
  <si>
    <t>Taylorcraft L2</t>
  </si>
  <si>
    <t>Thulin K</t>
  </si>
  <si>
    <t>12 eenzitters en 3 tweezitters</t>
  </si>
  <si>
    <t>Thulin LA</t>
  </si>
  <si>
    <t>Vickers Viking</t>
  </si>
  <si>
    <t>Vickers Sea Otter</t>
  </si>
  <si>
    <t>Voisin LB.IV</t>
  </si>
  <si>
    <t>Vought OS2U Kingfisher</t>
  </si>
  <si>
    <t xml:space="preserve">Besteld en onderweg naar NOI maar door capitulatie nooit afgeleverd. Door USN overgenomen. Geen Nederlands gebruik dus. </t>
  </si>
  <si>
    <t>Vultee BT.13 Valiant</t>
  </si>
  <si>
    <t>WACO EGC-7</t>
  </si>
  <si>
    <t>Gevorderd en vernietigd bij Japanse aanval Andir</t>
  </si>
  <si>
    <t>WACO UKC</t>
  </si>
  <si>
    <t>Westland Lynx SH-14</t>
  </si>
  <si>
    <t>Westland Wasp AH-12</t>
  </si>
  <si>
    <t>White and Thompson Type.3</t>
  </si>
  <si>
    <t>Yokosuka K5Y Willow</t>
  </si>
  <si>
    <t>Dornier 228</t>
  </si>
  <si>
    <t>Kustwacht</t>
  </si>
  <si>
    <t>gehuurde toestellen</t>
  </si>
  <si>
    <t>De Havilland DASH8</t>
  </si>
  <si>
    <t>Vanaf 2007 twee toestellen in het Caribisch gebied, vanaf 2022 ook in Nederland</t>
  </si>
  <si>
    <t>Agusta Westland AW-189</t>
  </si>
  <si>
    <t>Gehuurde SAR kisten</t>
  </si>
  <si>
    <t>Eurocopter AS365N3 Dauphin</t>
  </si>
  <si>
    <t>gehuurde SAR toestellen</t>
  </si>
  <si>
    <t>Fokker F-28</t>
  </si>
  <si>
    <t>Regeringstoestel</t>
  </si>
  <si>
    <t>Fokker 70</t>
  </si>
  <si>
    <t>regeringstoestel</t>
  </si>
  <si>
    <t>Boeing 737</t>
  </si>
  <si>
    <t>regeringstoestel - aanvankelijk gehuurd, later de PH-GOV aangekocht</t>
  </si>
  <si>
    <t>Cessna 172</t>
  </si>
  <si>
    <t>Cessna 337 Super Skymaster</t>
  </si>
  <si>
    <t>Pilatus Britten-Norman BN.2T Turbine Islander</t>
  </si>
  <si>
    <t>Cessna 182 Skylane II</t>
  </si>
  <si>
    <t>Sud Aviation SA341G Gazelle</t>
  </si>
  <si>
    <t>gehuurd toestel</t>
  </si>
  <si>
    <t>Bell 206 JetRanger</t>
  </si>
  <si>
    <t>Eurocopter AS350 B2 Ecureuil’</t>
  </si>
  <si>
    <t>Gehuurde toestellen</t>
  </si>
  <si>
    <t>McDonnell Douglas MD902 Explorer</t>
  </si>
  <si>
    <t>Eurocopter EC-135</t>
  </si>
  <si>
    <t>Agusta Westland AW-139</t>
  </si>
  <si>
    <t xml:space="preserve">Totaal in gebruik geweest bij NL militaire en overheids luchtvaart 1913 - heden </t>
  </si>
  <si>
    <t>Saab 91 Safir</t>
  </si>
  <si>
    <t>Rijksluchtvaartschool</t>
  </si>
  <si>
    <t>LSK/Klu - MLD - RLS</t>
  </si>
  <si>
    <t>Naast de Klu ook zeven stuks in gebruik bij de politie en vier door ANWB trauma heli tot 2005</t>
  </si>
  <si>
    <t>Gehuurde toestellen politie en 2 MMT trauma</t>
  </si>
  <si>
    <t>Zes Politie en zes MMT trauma</t>
  </si>
  <si>
    <t>Airbus Helicopters H145</t>
  </si>
  <si>
    <t xml:space="preserve">MMT </t>
  </si>
  <si>
    <t>MMT trauma</t>
  </si>
  <si>
    <t>Douglas DC-5</t>
  </si>
  <si>
    <t>KNILM</t>
  </si>
  <si>
    <t>Anders (zie bijz)</t>
  </si>
  <si>
    <t>RNMFS</t>
  </si>
  <si>
    <t>MLKNIL - RNMFS</t>
  </si>
  <si>
    <t>Klu - MLD - RLS</t>
  </si>
  <si>
    <t>NGAT</t>
  </si>
  <si>
    <t>Deels uit dienst vanwege bezuinigingen - geen verloren - S454 in NMM</t>
  </si>
  <si>
    <t>Klu - Regering</t>
  </si>
  <si>
    <t> Junkers JU.52/3m</t>
  </si>
  <si>
    <t>RLS</t>
  </si>
  <si>
    <t>Uit RAF voorraad in Duitsland</t>
  </si>
  <si>
    <t>HFB.320 “Hansa”Jet”</t>
  </si>
  <si>
    <t>Cessna 500 “Citation”</t>
  </si>
  <si>
    <t>Slingsby T67C-3</t>
  </si>
  <si>
    <t>North American/Noordduyn Harvard/Texan</t>
  </si>
  <si>
    <t>RAF - LSK - Klu - MLD - MLKNIL - NGAT - Regering - RLS</t>
  </si>
  <si>
    <r>
      <t xml:space="preserve">30 LSK/Klu - 16 MLD - 56 MLKNIL - tenminste 5 crashes en 2 bekende wrakken (X-11 en X-13)  - Ook de DC-3 PH-PBA meegenomen, het eerste regeringsvliegtuig, drie KNILM gemilitariseerde kisten en 10 Dc-3/C-47 toestellen van het NGAT en 1 kist RLS  </t>
    </r>
    <r>
      <rPr>
        <sz val="11"/>
        <color rgb="FFFF0000"/>
        <rFont val="Aptos Narrow"/>
        <family val="2"/>
        <scheme val="minor"/>
      </rPr>
      <t>Onderzoek</t>
    </r>
  </si>
  <si>
    <t>Morane-Saulnier MS.760B</t>
  </si>
  <si>
    <t>Cessna/Reims 150L</t>
  </si>
  <si>
    <t>Beechcraft F33A/C “Bonanza”</t>
  </si>
  <si>
    <t>Reims/Cessna F152-II</t>
  </si>
  <si>
    <t>3 LSK/RAF - 6 MLD 1 na ongeval gesloopt - 28 Klu allen terug naar USAF - plus 15 van de Rijksluchtvaartschool (met 4 crashes)</t>
  </si>
  <si>
    <t>9 later door de MLD overgenomen - 1 RLS kist verbrand 1968</t>
  </si>
  <si>
    <t>Acht crashes (7A en 1C)</t>
  </si>
  <si>
    <t>3 MLD verkocht - onderzoek,  56 Klu met 1 NMM en 1 Aviodrome - ook 30 Tiger Moths bij de RLS met 10 crashes en 1 verbrand</t>
  </si>
  <si>
    <t>Geen resten</t>
  </si>
  <si>
    <t>Geen NL wrak</t>
  </si>
  <si>
    <t>Wsl gesloopt</t>
  </si>
  <si>
    <t>RAF - KLU - MLD</t>
  </si>
  <si>
    <t>220 de Kooy - 221 Aviodrome - 225 NMM</t>
  </si>
  <si>
    <t>Wrak assesment</t>
  </si>
  <si>
    <r>
      <t xml:space="preserve">11 LVA 49 MLKNIL </t>
    </r>
    <r>
      <rPr>
        <sz val="11"/>
        <color rgb="FFFF0000"/>
        <rFont val="Aptos Narrow"/>
        <family val="2"/>
        <scheme val="minor"/>
      </rPr>
      <t xml:space="preserve">- verloren in NOI? </t>
    </r>
  </si>
  <si>
    <t xml:space="preserve">allen vliegend </t>
  </si>
  <si>
    <t>KLU afgevoerd (2 naar MLD) - MLD afgevoerd - ook 3 bij 320 Sq (MLD) in WOII</t>
  </si>
  <si>
    <t>Geen wrakken - 1 fataal ongeluk geen wrak</t>
  </si>
  <si>
    <t>2 gevlogen door de Aeroclub Aruba tbv gouvernement</t>
  </si>
  <si>
    <t xml:space="preserve">geen wrakken  </t>
  </si>
  <si>
    <r>
      <t xml:space="preserve">Bij 320 Sq vanuit de UK - zeker 14 machines boven zee verloren gegaan plus 2 boven land tijdens missies - 7 toestellen vernietigd door crashlandingen in UK - </t>
    </r>
    <r>
      <rPr>
        <sz val="11"/>
        <color rgb="FFFF0000"/>
        <rFont val="Aptos Narrow"/>
        <family val="2"/>
        <scheme val="minor"/>
      </rPr>
      <t>onderzoek</t>
    </r>
  </si>
  <si>
    <t xml:space="preserve">1 wrak Ierse zee (1MIA) - 3 wrakken en  12 KIA in Noordzee nabij Vestbygd (T9380/V9063/V9121) - 1 wrak Noordzee tussen Stavanger-Lista (T9413 5 KIA) - 1 wrak neergeschoten Bremen (T9435 4 MIA) - 1 wrak Noordzee NL kust (V8981 4 KIA) - 1 Noorse kust (V9036 4 KIA) - 5 wrak NL kust (V9122/AE525/AM939/EW903/EW912 16 KIA 4 POW) -  1 wrak Noordzee/Waddenzee (EW919 4 KIA) </t>
  </si>
  <si>
    <t>geen wrak</t>
  </si>
  <si>
    <t>320 Sq WOII: 20 toestellen met crash op/boven land waarvan 17 vermoedelijk nog wrakdelen te vinden. 10 toestellen geditched of verdwenen boven zee. Wrak misschien nog aanwezig. 68 toestellen afgeschreven/afgevoerd. Wsl 27 wrakken nog aanwezig. 18 SQ MLKNIL: 22 toestellen met crashes op land, merendeel wsl geen wrak - 7 toestellen neergeschoten boven land, wrakken? - 17 toestellen ditching/crash boven zee wsl allemaal als wrak aanwezig. Schatting is 23 wrakken.</t>
  </si>
  <si>
    <t>Zie opmerkingen voor bijzonderheden. Drie kisten in musea: N5-234 en N5-239 Indonesie en N5-264 in Soesterberg</t>
  </si>
  <si>
    <t xml:space="preserve">C323 en C329 (2 KIA) crash in kampong Pertjoet nabij Pakan Baroe (Sumatra); C331 crash nabij Ipoh Malakka; één nbij Maosapati brandend neergeschoten (1KIA); twee bij Soerabaya neergeschoten; een nabij Porong, Soerabaya (1KIA); twee buitgemaakt door Japan waarvan één na de oorlog op de dump van Andir. Allen boven land neergeschoten, kans op wrakken zeer klein. </t>
  </si>
  <si>
    <t>in 1935 één in museum in Andir. Misschien één wrak nog te vinden.</t>
  </si>
  <si>
    <t>Twee bekende wrakken: Sumatra en Kalimantan. Sumatra (deels) geborgen, Kalimantan nog niet (M%&amp;$). 19 waarschijnlijke wrakken in zee en jungle Indonesië. Misschien nog meer (onbekende registratienummers)</t>
  </si>
  <si>
    <t>11 toestellen verloren gegaan op zee met wsl nog een wrak. 19 toestellen nabij vliegkamp en wsl geen wrak.</t>
  </si>
  <si>
    <t>1 Madoera; 1 Bandjermasin; 4 Broome; 1 Golf Bengalen; 1 Cape Agulhas; 1 Biak; 2 zonder aanduiding</t>
  </si>
  <si>
    <t xml:space="preserve">24 Warhawks bij RNMFS en 67 bij 120 Sq -  29 crashes en ongelukken RNMFS (hoeveel wrakken?).  </t>
  </si>
  <si>
    <r>
      <t xml:space="preserve">Zes toestellen in zee (504/515/550/554 (1KIA)/557/562) - 10 toestellen in de jungle of afgelegen gebied (503 (1KIA)/508/510/514 (1KIA)/528/534/541/544 (1KIA)/544/553/556 (1KIA)) - 9 toestellen elders (vetgedrukt wellicht wrak </t>
    </r>
    <r>
      <rPr>
        <b/>
        <sz val="11"/>
        <color theme="1"/>
        <rFont val="Aptos Narrow"/>
        <family val="2"/>
        <scheme val="minor"/>
      </rPr>
      <t>501</t>
    </r>
    <r>
      <rPr>
        <sz val="11"/>
        <color theme="1"/>
        <rFont val="Aptos Narrow"/>
        <family val="2"/>
        <scheme val="minor"/>
      </rPr>
      <t>/</t>
    </r>
    <r>
      <rPr>
        <b/>
        <sz val="11"/>
        <color theme="1"/>
        <rFont val="Aptos Narrow"/>
        <family val="2"/>
        <scheme val="minor"/>
      </rPr>
      <t>502</t>
    </r>
    <r>
      <rPr>
        <sz val="11"/>
        <color theme="1"/>
        <rFont val="Aptos Narrow"/>
        <family val="2"/>
        <scheme val="minor"/>
      </rPr>
      <t>/</t>
    </r>
    <r>
      <rPr>
        <b/>
        <sz val="11"/>
        <color theme="1"/>
        <rFont val="Aptos Narrow"/>
        <family val="2"/>
        <scheme val="minor"/>
      </rPr>
      <t>509</t>
    </r>
    <r>
      <rPr>
        <sz val="11"/>
        <color theme="1"/>
        <rFont val="Aptos Narrow"/>
        <family val="2"/>
        <scheme val="minor"/>
      </rPr>
      <t>/</t>
    </r>
    <r>
      <rPr>
        <b/>
        <sz val="11"/>
        <color theme="1"/>
        <rFont val="Aptos Narrow"/>
        <family val="2"/>
        <scheme val="minor"/>
      </rPr>
      <t>513</t>
    </r>
    <r>
      <rPr>
        <sz val="11"/>
        <color theme="1"/>
        <rFont val="Aptos Narrow"/>
        <family val="2"/>
        <scheme val="minor"/>
      </rPr>
      <t>/518/</t>
    </r>
    <r>
      <rPr>
        <b/>
        <sz val="11"/>
        <color theme="1"/>
        <rFont val="Aptos Narrow"/>
        <family val="2"/>
        <scheme val="minor"/>
      </rPr>
      <t>524</t>
    </r>
    <r>
      <rPr>
        <sz val="11"/>
        <color theme="1"/>
        <rFont val="Aptos Narrow"/>
        <family val="2"/>
        <scheme val="minor"/>
      </rPr>
      <t>/</t>
    </r>
    <r>
      <rPr>
        <b/>
        <sz val="11"/>
        <color theme="1"/>
        <rFont val="Aptos Narrow"/>
        <family val="2"/>
        <scheme val="minor"/>
      </rPr>
      <t>525</t>
    </r>
    <r>
      <rPr>
        <sz val="11"/>
        <color theme="1"/>
        <rFont val="Aptos Narrow"/>
        <family val="2"/>
        <scheme val="minor"/>
      </rPr>
      <t xml:space="preserve">/527/548) en 8 toestellen naar de AURI (Indonesische luchtmacht) </t>
    </r>
  </si>
  <si>
    <t>CAC Wirraway</t>
  </si>
  <si>
    <t xml:space="preserve">Vlucht van Jhr Bodo Sandberg naar Tanah Mera - noodlanding bij Kikori https://maps.app.goo.gl/yF2a3921WLJ9jWPp9 </t>
  </si>
  <si>
    <t>Zou nog als wrak aanwezig kunnen zijn</t>
  </si>
  <si>
    <t>neergestort Schotland (HS274) in zee gestort (HS616) ditching Atlantische Oceaan (LS244) in zee Schotland (LS398) overboord Macoma (NE888)</t>
  </si>
  <si>
    <r>
      <t xml:space="preserve">Geleend FAA - 5 in zee verloren </t>
    </r>
    <r>
      <rPr>
        <sz val="11"/>
        <color rgb="FFFF0000"/>
        <rFont val="Aptos Narrow"/>
        <family val="2"/>
        <scheme val="minor"/>
      </rPr>
      <t>onderzoek locaties</t>
    </r>
  </si>
  <si>
    <r>
      <t xml:space="preserve">LSK/MLD 1 ditching op zee </t>
    </r>
    <r>
      <rPr>
        <sz val="11"/>
        <color rgb="FFFF0000"/>
        <rFont val="Aptos Narrow"/>
        <family val="2"/>
        <scheme val="minor"/>
      </rPr>
      <t>onderzoeken</t>
    </r>
    <r>
      <rPr>
        <sz val="11"/>
        <color theme="1"/>
        <rFont val="Aptos Narrow"/>
        <family val="2"/>
        <scheme val="minor"/>
      </rPr>
      <t xml:space="preserve"> </t>
    </r>
  </si>
  <si>
    <t>N9742 noodlanding Ierse Zee - geen KIA</t>
  </si>
  <si>
    <r>
      <t xml:space="preserve">Ingezet in de UK voor verbindingen en in NOI voor verkenning. Ook vier uitgeleend door de Klu aan de MLD. Veel </t>
    </r>
    <r>
      <rPr>
        <sz val="11"/>
        <color rgb="FFFF0000"/>
        <rFont val="Aptos Narrow"/>
        <family val="2"/>
        <scheme val="minor"/>
      </rPr>
      <t>ongelukken</t>
    </r>
  </si>
  <si>
    <t>N-11 in de collectie NMM / de R-18 vliegt bij KLHV - veel ongelukken, maar wsl geen wrakken</t>
  </si>
  <si>
    <t xml:space="preserve">A-12 bij Meridian verongelukt. Wsl geen wrak meer </t>
  </si>
  <si>
    <t>Wsl geen wrakken</t>
  </si>
  <si>
    <r>
      <t xml:space="preserve">Enkele ongevallen &amp; crashes vliegschool USA </t>
    </r>
    <r>
      <rPr>
        <sz val="11"/>
        <color rgb="FFFF0000"/>
        <rFont val="Aptos Narrow"/>
        <family val="2"/>
        <scheme val="minor"/>
      </rPr>
      <t>onderzoek</t>
    </r>
  </si>
  <si>
    <t>2 gecrasht Afghanistan</t>
  </si>
  <si>
    <t>Oa bij 322 Sq RAF in WOII ingezet (260 Spitfires in vier verschillende types), na de oorlog bij de LSK/Klu (38 Jachtvliegschool). Ook ingezet in NOI tijdens politionele acties (20 322 SQ). Zie boek Harry vd Meer voor meer info.   Tijdens WOII 81 door NL aangekochte Spits ingezet bij niet NL squadrons. In 2015 (inventarisatie HvdM) nog 18 survivoirs. Voor exactere gegevens veel aanvullend onderzoek nodig.</t>
  </si>
  <si>
    <t>Geen wrakken bekend, onderzoek archief?</t>
  </si>
  <si>
    <t>Geen crashes</t>
  </si>
  <si>
    <t>Wel crashes, wsl geen wrakken</t>
  </si>
  <si>
    <t>vernield op vliegveld, wsl geen wrak</t>
  </si>
  <si>
    <t>De D-104 is opgeblazen nadat alle bruikbare onderdelen eruit/eraf gehaald zijn. De D-105 is wsl uitgebrand met nog wrakdelen op locatie.</t>
  </si>
  <si>
    <t xml:space="preserve">Niet direct te achterhalen of de 253 en 255 geborgen zijn of nog als wrak aanwezig zijn. </t>
  </si>
  <si>
    <r>
      <t>2 in zee gestort Ierse Zee (253) en noord van Schotland (255) (</t>
    </r>
    <r>
      <rPr>
        <sz val="11"/>
        <color rgb="FFFF0000"/>
        <rFont val="Aptos Narrow"/>
        <family val="2"/>
        <scheme val="minor"/>
      </rPr>
      <t>geborgen</t>
    </r>
    <r>
      <rPr>
        <sz val="11"/>
        <color theme="1"/>
        <rFont val="Aptos Narrow"/>
        <family val="2"/>
        <scheme val="minor"/>
      </rPr>
      <t>?) 1 noodlanding Wassenaar (257) (geborgen)</t>
    </r>
  </si>
  <si>
    <t>wsl geen wrakken</t>
  </si>
  <si>
    <t>Wat is er met de LVA/Luftwaffe Jungmann gebeurt?</t>
  </si>
  <si>
    <t>Kans op onderdelen van het wrak in de Javazee is aanwezig, al zijn het maar de motor, delen van de drijvers en wellicht wat staalbuis</t>
  </si>
  <si>
    <t>Één crash op Soesterberg - niet gemonteerd of gevlogen</t>
  </si>
  <si>
    <t>Wrak G-YKIV zou nog in zee kunnen liggen.</t>
  </si>
  <si>
    <t>5 gecrasht - een in de Noordzee 7 mijl ZZO van Flamborough Head (UK) - drie nog vliegend</t>
  </si>
  <si>
    <t>Tot 1991 overheid, daarna KLM - 2 gecrasht - geen wrakken</t>
  </si>
  <si>
    <t xml:space="preserve">Enkele ongelukken. Allen doorverkocht. </t>
  </si>
  <si>
    <t>Geen wrakken</t>
  </si>
  <si>
    <t>Uitgeschreven luchtvaartregister. Bestaan nog</t>
  </si>
  <si>
    <t>geen wrakken</t>
  </si>
  <si>
    <t>Uitgeschreven luchtvaartregister. Een vliegt nog in NL</t>
  </si>
  <si>
    <t>Verkocht en uitgeschreven luchtvaartregister</t>
  </si>
  <si>
    <t>Samengebouwd tot wsl 30 stuks. 3 verongelukt waarvan één in de bergen en 21 zijn wsl overgedragen AURI in 1949</t>
  </si>
  <si>
    <t>Mogelijk één wrak op een berg</t>
  </si>
  <si>
    <t xml:space="preserve">2 geleend RAF - 1 in zee (KH296/J) 1 verongelukt 7 retour RAF en 6 gesloopt </t>
  </si>
  <si>
    <t>1 B-24 in zee nabij Cocos eilanden (?)</t>
  </si>
  <si>
    <t>Curtiss Hawk 6</t>
  </si>
  <si>
    <t xml:space="preserve">6 gebouwd in NL 2 in de lucht tegen elkaar gevlogen en één tegen een berg gevlogen </t>
  </si>
  <si>
    <t>Waarschijnlijk geen wrak</t>
  </si>
  <si>
    <t>Door beperkte archieven lastig te achterhalen of er nog wrakken zouden kunnen zijn. Tenminste twee boven zee verdwenen (4-12-41 Vdg van Bers op weg naar Ambon en 15-1-42 bij aanval Japanse vloot bij Banka), 1 crash in moeras nabij Samarinda op 24-12-41 en 1 tegen berg gevlogen (17-1-42 bij Tjikalon Wetan Bandoeng) 2 neergeschoten Singapore (B3-100 en 103), 4 neergeschoten nabij Tarakan en 2 bij Ambon. Bij Tarakan en Ambon is de kans aanwezig dat ze in zee zijn gekomen en daar nog wrakdelen liggen.</t>
  </si>
  <si>
    <t>delen van de laatste levering (nooit in Indië aangekomen) in collectie NMM. Ook een replica in collectie NMM</t>
  </si>
  <si>
    <r>
      <t xml:space="preserve">61 besteld, 36 afgeleverd - allen verloren gegaan - </t>
    </r>
    <r>
      <rPr>
        <sz val="11"/>
        <color rgb="FFFF0000"/>
        <rFont val="Aptos Narrow"/>
        <family val="2"/>
        <scheme val="minor"/>
      </rPr>
      <t>Onderzoek</t>
    </r>
  </si>
  <si>
    <t>Op 1 maart 1942 aan de noordkust van Java (omgeving Kalipang https://maps.app.goo.gl/vSEHNHUFkKsVSXc86) een CW-22 Falcon in zee geditched vlakbij de kust. 2e Falcon noodlanding bij Pamotan. 3e Falcon nabij Tuban neergeschoten.</t>
  </si>
  <si>
    <t>Veel survivors, voor zover bekend geen wrakken</t>
  </si>
  <si>
    <t>1 gecrasht en de V3 naar het NMM</t>
  </si>
  <si>
    <t>V3 Gelderland in NMM met interessante geschiedenis als oa UN kist in Palestina.</t>
  </si>
  <si>
    <t>Wellicht D-10 bij Ambon (dec 1937), wellicht D-22 bij Basra (mei 1929), wellicht D-36 bij Mapia NNG (aug 1939) https://maps.app.goo.gl/1eym8d7BnLNv37Mn7 Wellicht D-43 neergeschoten nabij Soerabaja 3-2-42</t>
  </si>
  <si>
    <t xml:space="preserve">2 CW-21 (Hogenes en Halberstad) wellicht in zee bij Madoera (3/2/42). Kingma in zee Madoera 3/2. Daar ook 2x Zero in het water. CW-21 347 op strand Madoera. 1 CW-21 noodlanding sawa Madoera. Bij latere acties nog drie Interceptors boven Java verloren gegaan. </t>
  </si>
  <si>
    <t>48 besteld, 6 afgeleverd Tjilatjap en 2 gevlogen - 1 in Japanse handen - ca 6 toestellen in Australië door de MLKNIL gebruikt 1e fase 18 SQ. Veel gebruikt door de RAAF in Nieuw Guinea (en verongelukt/neergeschoten) en zelfs in Rusland.</t>
  </si>
  <si>
    <t>Geen NL wrakken, wellicht wel in RAAF dienst</t>
  </si>
  <si>
    <t xml:space="preserve">Ingezet Meidagen '40 - allen verloren gegaan en tenminste 6 in Duitse handen </t>
  </si>
  <si>
    <t>geen wrakken meer</t>
  </si>
  <si>
    <t xml:space="preserve">Door KLM aan NOI gouvernement verkocht en gebruikt door KNILM oa voor evacuaties - 1 in Japanse handen </t>
  </si>
  <si>
    <t>Meerdere toestellen in zee NL, UK/Ierland en Indië - mogelijk ca 8 wrakken - zie opmerking</t>
  </si>
  <si>
    <t xml:space="preserve">geen wrakken </t>
  </si>
  <si>
    <t>wellicht 1 wrak Texel - Waddenzee</t>
  </si>
  <si>
    <t>Geen wrak</t>
  </si>
  <si>
    <t xml:space="preserve">Zeer veel crashes en ongelukken tot aan 1940. Enkele oorlogsbuit van de Duitsers. Alle ongelukken behalve één op land. De 547 in zee bij Huisduinen, wellicht de motor nog daar, </t>
  </si>
  <si>
    <t>Mogelijk één wrak</t>
  </si>
  <si>
    <r>
      <t xml:space="preserve">31 LVA (1 stuk zelfbouw) met vele crashes maar geen wrakken. 9 stuks voor MLKNIL en 10 DCI jager-verkenners. Van de ML kisten geen extra gegevens over crashes en evt wrakken - </t>
    </r>
    <r>
      <rPr>
        <sz val="11"/>
        <color rgb="FFFF0000"/>
        <rFont val="Aptos Narrow"/>
        <family val="2"/>
        <scheme val="minor"/>
      </rPr>
      <t>onderzoek</t>
    </r>
  </si>
  <si>
    <t>geen wrakken in NL, mogelijk in NOI</t>
  </si>
  <si>
    <t>Fokker C.VI</t>
  </si>
  <si>
    <t>Fokker C.V</t>
  </si>
  <si>
    <t>geen bekende wrakken</t>
  </si>
  <si>
    <t xml:space="preserve">Meeste gebouwde Fokker van het interbellum. Vrij weinig ongelukken, wel nogal wat neergeschoten of verbarnd in mei 1940. Zeker 11 buitgemaakt Luftwaffe - 1 survivor Aviodrome (nr 634) </t>
  </si>
  <si>
    <t>Sterk aan de C.V verwant toestel. De meesten in mid jaren '30 omngebouwd tot C.V. Zie bij C.V voor wrakken en ongelukken, neergeschoten</t>
  </si>
  <si>
    <t>Buitgemaakt Luftwaffe Soesterberg</t>
  </si>
  <si>
    <t>5 naar UK ontkomen mei '40, daar gesloopt. 1 op Westeinder verongelukt mei 1940</t>
  </si>
  <si>
    <t>Is de Westeinder kist geborgen?</t>
  </si>
  <si>
    <t>Drijvervliegtuig. Als boordvliegtuig in NOI (op de kruisers) en in NL als lesvliegtuig gebruikt. Geen wrakken bekend.</t>
  </si>
  <si>
    <t>7 wsl buitgemaakt Luftwaffe en 2 naar Frankrijk ontsnapt en daar vernield of in Duitse handen. In NOI allen afgeschreven en 1 verongelukt. Replica in NMM</t>
  </si>
  <si>
    <t>14 stuk in NL waarvan 1 naar UK ontsnapt mei 1940. Overigen allen vernield bij bombardementen. In NOI als lesvliegtuig ingezet, - allen vernield bombardementen</t>
  </si>
  <si>
    <t>5 vernietigd Meer van Lengkong NOI - 1 neergeschoten Tjepoe NOI, 1 verongelukt Blinjoe Banka NOI, 1 neergestort bij Kamperduin, overigen vernietigd</t>
  </si>
  <si>
    <t>mogelijk wrakken Meer van Lenkong en Blinjoe en Tjepoe</t>
  </si>
  <si>
    <t>Alleen KNIL NOI - een verongelukt, rest afgeschreven</t>
  </si>
  <si>
    <t>waarschijnlijk allen afgeschreven</t>
  </si>
  <si>
    <t>Beroemde Fokker want genoemd in Verdrag van Versailles. D20 of D28 MLD vanuit Deutsches Museum nu in NMM. Veel kraakjes en ongelukken, geen bekende wrakken</t>
  </si>
  <si>
    <t>geen wrakken. 1 niet NL D-VII in collectie NMM en nu ook de D28/D28 van Deutsches Museum</t>
  </si>
  <si>
    <t>Veel kraakjes en wat ongelukken - 1 buitgemaakt Luftwaffe 1940</t>
  </si>
  <si>
    <t>1 crash in zee bij Haamstede (juli 1938), 1 buitgemaakt Luftwaffe 1940 rest verongelukt of vernield</t>
  </si>
  <si>
    <t>wrak Haamstede geborgen?</t>
  </si>
  <si>
    <t>Zijn alle D-XXI wrakken geheel geborgen?</t>
  </si>
  <si>
    <t>Belangrijke jager meidagen 1940. 10 neergeschoten tijdens meidagen. Wsl 8 buitgemaakt Luftwaffe. Resten 229bij CRASH museum, replica bij NMM en vliegende replica in NL. 1 testkist NOI, vernield te Andir.</t>
  </si>
  <si>
    <t>de C-10 naar NMM - ook de PH-PBF meegenomen, tweede regeringsvliegtuig. Meerdere wellicht nog bestaand elders in de wereld</t>
  </si>
  <si>
    <t>regeringsvliegtuig - verkocht en vliegt nog in IND</t>
  </si>
  <si>
    <t>3 bij LVA NL en 2 in NOI - allen vernield of afgeschreven</t>
  </si>
  <si>
    <r>
      <t xml:space="preserve">Beroemde jager van Fokker, inzet meidagen 1940. 36 met Mercury motoren en 26 met Wasp motoren - 31 stuks naar de Luftwaffe (één zou in de </t>
    </r>
    <r>
      <rPr>
        <sz val="11"/>
        <color rgb="FFFF0000"/>
        <rFont val="Aptos Narrow"/>
        <family val="2"/>
        <scheme val="minor"/>
      </rPr>
      <t>Bodensee</t>
    </r>
    <r>
      <rPr>
        <sz val="11"/>
        <color theme="1"/>
        <rFont val="Aptos Narrow"/>
        <family val="2"/>
        <scheme val="minor"/>
      </rPr>
      <t xml:space="preserve"> liggen), 1 spectaculaior naar UK ontsnapt 1941 en daar gesloopt</t>
    </r>
  </si>
  <si>
    <t>Een in Duitse handen gevallen 1940</t>
  </si>
  <si>
    <t>Straaltrainer - 1 neergestort - 2 NMM en 1 niet militaire bij Aviodrome</t>
  </si>
  <si>
    <t xml:space="preserve">Lesvliegtuig </t>
  </si>
  <si>
    <t>wrak in de Schelde geborgen?</t>
  </si>
  <si>
    <t>Diverse crashes en ongelukken. Zeker 8 uitgeweken naar FRA mei 1940, lot onbekend. 1 neergestort Schelde. 1 naar Aviodrome. 1 naar MLKNIL en NOI.</t>
  </si>
  <si>
    <r>
      <t xml:space="preserve">14 stuks uitgeweken naar Frankrijk mei 1940. 1 crash </t>
    </r>
    <r>
      <rPr>
        <sz val="11"/>
        <color rgb="FFFF0000"/>
        <rFont val="Aptos Narrow"/>
        <family val="2"/>
        <scheme val="minor"/>
      </rPr>
      <t>België</t>
    </r>
    <r>
      <rPr>
        <sz val="11"/>
        <color theme="1"/>
        <rFont val="Aptos Narrow"/>
        <family val="2"/>
        <scheme val="minor"/>
      </rPr>
      <t>. 15 MLD kisten allen vernield de Kooy 1940.</t>
    </r>
  </si>
  <si>
    <t>geen wrakken voor zover bekend</t>
  </si>
  <si>
    <r>
      <t xml:space="preserve">Twee series van 12 stuks. De tweede serie veel moderner en ook in WOII nog ingezet. 1 verongelukt bij Banda (okt 1937).  Zeker 8 afgezonken meer van </t>
    </r>
    <r>
      <rPr>
        <sz val="11"/>
        <color rgb="FFFF0000"/>
        <rFont val="Aptos Narrow"/>
        <family val="2"/>
        <scheme val="minor"/>
      </rPr>
      <t>Lengkong februari 1942</t>
    </r>
  </si>
  <si>
    <t>Wellicht wrakken Langkong en Banda?</t>
  </si>
  <si>
    <t>Van de 16 bestelde toestellen 9 actief in mei 1940. Zeker 5 door Luftwaffe buit gemaakt</t>
  </si>
  <si>
    <r>
      <t xml:space="preserve">19 en 12 besteld. In mei 40 9 beschikbaar en deels naar UK ontsnapt (zelf nog één in 1941). Anderen voor Luftwaffe afgebouwd en oa in Middellandse Zee ingezet (en </t>
    </r>
    <r>
      <rPr>
        <sz val="11"/>
        <color rgb="FFFF0000"/>
        <rFont val="Aptos Narrow"/>
        <family val="2"/>
        <scheme val="minor"/>
      </rPr>
      <t>verloren</t>
    </r>
    <r>
      <rPr>
        <sz val="11"/>
        <color theme="1"/>
        <rFont val="Aptos Narrow"/>
        <family val="2"/>
        <scheme val="minor"/>
      </rPr>
      <t>?)</t>
    </r>
  </si>
  <si>
    <t>Wellicht een wrak in de Middellandse Zee?</t>
  </si>
  <si>
    <t>Fokker F.II</t>
  </si>
  <si>
    <t>NLR</t>
  </si>
  <si>
    <t>Testvliegtuig Rijks Studiedienst Luchtvaart</t>
  </si>
  <si>
    <t>DLP</t>
  </si>
  <si>
    <t xml:space="preserve">3 geinterneerd, 18 bijbesteld. 1 neergestort Oosterschelde, 1 neergestort Felixstowe, 1 gezonken Katwijk, </t>
  </si>
  <si>
    <t>Mogelijk nog wrakdelen van deze drie toestellen?</t>
  </si>
  <si>
    <t>geinterneerd - niet gevlogen</t>
  </si>
  <si>
    <t>6 Klu trainers Mk 7 naar de MLD. Zeker 79 crashes en ongelukken waarna afgeschreven. 61 stuks LsK/KLu mk.T7: 45 stuks mk.8: 160 stuks. 155 Mk8 door Fokker gebouwd. 1Mk4 NMM, 1 Mk8 NMM, 1 Mk8 Aviodrome, 1 Mk7 NMM</t>
  </si>
  <si>
    <t>Zeker 7 crashes op of boven zee. Zijn daar nog wrakdelen van?</t>
  </si>
  <si>
    <t>Gotha G4</t>
  </si>
  <si>
    <r>
      <t>177 F-16A en 36 F-16B - 3 crashes op zee en in Afghanistan (</t>
    </r>
    <r>
      <rPr>
        <sz val="11"/>
        <color rgb="FFFF0000"/>
        <rFont val="Aptos Narrow"/>
        <family val="2"/>
        <scheme val="minor"/>
      </rPr>
      <t>geborgen</t>
    </r>
    <r>
      <rPr>
        <sz val="11"/>
        <color theme="1"/>
        <rFont val="Aptos Narrow"/>
        <family val="2"/>
        <scheme val="minor"/>
      </rPr>
      <t>?) , meerdere naar NMM en zeker 24 kisten naar Oekraine.</t>
    </r>
  </si>
  <si>
    <t>Waarschijnlijk geen wrakken. Wellicht enkele delen in Afghanistan J363</t>
  </si>
  <si>
    <t>MDAP levering - 2 typen - a/b Karel Doorman - 1 verloren in zee Gibraltar - 1 bij Aviodrome, 1 NMM en 1 TK de Kooy</t>
  </si>
  <si>
    <t>wrak Gibraltar Middellandse Zee</t>
  </si>
  <si>
    <t>Grumman S-2F Tracker</t>
  </si>
  <si>
    <r>
      <t xml:space="preserve">3 typen - a/b Karel Doorman -  12 in zee verloren en wsl niet geborgen - </t>
    </r>
    <r>
      <rPr>
        <sz val="11"/>
        <color rgb="FFFF0000"/>
        <rFont val="Aptos Narrow"/>
        <family val="2"/>
        <scheme val="minor"/>
      </rPr>
      <t>onderzoek</t>
    </r>
  </si>
  <si>
    <t>Wrakken Noordzee (5) Gibraltar (1), van Karel Doorman (4) van HMS Bulwark (1) Bermuda in zee (1) en zee alg (1)</t>
  </si>
  <si>
    <t>geinterneerd - 1920 retour RAF</t>
  </si>
  <si>
    <t>Eerste meermotorige straaltrainer RLS - ook voor regeringsvluchten</t>
  </si>
  <si>
    <t>Wrakdelen op Java?</t>
  </si>
  <si>
    <r>
      <t xml:space="preserve">Ca 4 toestellen in zee en wsl niet </t>
    </r>
    <r>
      <rPr>
        <sz val="11"/>
        <color rgb="FFFF0000"/>
        <rFont val="Aptos Narrow"/>
        <family val="2"/>
        <scheme val="minor"/>
      </rPr>
      <t>geborgen</t>
    </r>
  </si>
  <si>
    <t>Wsl 3 wrakken in zee</t>
  </si>
  <si>
    <t>Wsl 2 wrakken</t>
  </si>
  <si>
    <t>Zeker 3 in zee - 1 bij Katwijk geborgen? 1 Indische Oceaan en 1 vanaf de Karel Doorman - 1 in collectie NMM en 1 de Kooij, beiden niet NL</t>
  </si>
  <si>
    <t>MDAP levering - 1 in collectie NMM rest afgeschreven of retour USAF</t>
  </si>
  <si>
    <t>Geleverd maar geen succes in NOI</t>
  </si>
  <si>
    <t>twee KLM toestellen en 1 particulier gevorderd 1939</t>
  </si>
  <si>
    <t>Vliegtuig met aan boord een donkere kamer voor luchtfotografie - door Luftwaffe buitgemaakt en gesloopt</t>
  </si>
  <si>
    <r>
      <t xml:space="preserve">Circa 12 van de ML buitgemaakt door de Luftwaffe, rest vernietigd mei 1940. 17 MLD kisten al 2 eerder verloren dan 1940, rest vernietigd bombardement De Kooij. 45 van de 60 MLKNIL afgeleverd NOI en veel </t>
    </r>
    <r>
      <rPr>
        <sz val="11"/>
        <color rgb="FFFF0000"/>
        <rFont val="Aptos Narrow"/>
        <family val="2"/>
        <scheme val="minor"/>
      </rPr>
      <t>neergeschoten</t>
    </r>
    <r>
      <rPr>
        <sz val="11"/>
        <color theme="1"/>
        <rFont val="Aptos Narrow"/>
        <family val="2"/>
        <scheme val="minor"/>
      </rPr>
      <t xml:space="preserve"> door de Japanners, ook </t>
    </r>
    <r>
      <rPr>
        <sz val="11"/>
        <color rgb="FFFF0000"/>
        <rFont val="Aptos Narrow"/>
        <family val="2"/>
        <scheme val="minor"/>
      </rPr>
      <t>buitgemaakt</t>
    </r>
    <r>
      <rPr>
        <sz val="11"/>
        <color theme="1"/>
        <rFont val="Aptos Narrow"/>
        <family val="2"/>
        <scheme val="minor"/>
      </rPr>
      <t>? Of er nog wrakdelen van zijn is onbekend</t>
    </r>
  </si>
  <si>
    <t>mogelijk wrakdelen in Indonesië?</t>
  </si>
  <si>
    <t>Mei '40 waren 4 van de 36 bestelde toestellen gereed of nog in aanbouw maar niet afgeleverd. Buitgemaakt?</t>
  </si>
  <si>
    <t>Koolhoven Fk.58</t>
  </si>
  <si>
    <t>1 gevorderde machine, vernietigd mei 1940</t>
  </si>
  <si>
    <r>
      <t xml:space="preserve">11 ML machines gebruikt in US (RNMFS) en deels door naar UK en Klu + 3 naar AUS. 23 KNIL toestellen, zowel in NOI verloren gegaan (22 stuks, behalve de L201 die naar Ceylon ontsnapte) - 4 KNILM toestellen naar AUS en daar overgegaan naar USAF - 1 survivor nu NMM (L2-38)  - </t>
    </r>
    <r>
      <rPr>
        <sz val="11"/>
        <color rgb="FFFF0000"/>
        <rFont val="Aptos Narrow"/>
        <family val="2"/>
        <scheme val="minor"/>
      </rPr>
      <t xml:space="preserve">onderzoek  </t>
    </r>
  </si>
  <si>
    <t>huidig jachtvliegtuig Klu</t>
  </si>
  <si>
    <t>Wrakken Noordzee? Geborgen?</t>
  </si>
  <si>
    <t>Onder MDAP geleverd allen retour US Navy en dan naar Portugal</t>
  </si>
  <si>
    <t xml:space="preserve">14 machines ontsnapt naar AUS (1 vernietigd in Broome) en 6 vanuit de RNMFS naar AUS. </t>
  </si>
  <si>
    <t>Eerste 12 onder MDAP geleverd  - later 19 zelf besteld - 3 survivors (de Kooij, NMM, Aviodrome) plus onderdelen her en der</t>
  </si>
  <si>
    <t>geen verliezen, na bezuinigingen verkocht aan Duitsland en Portugal</t>
  </si>
  <si>
    <t>63 vliegende machines en 5 voor onderdelen - verschillende crashes en 3 bewaard in NL musea - wsl verschillende survivors</t>
  </si>
  <si>
    <r>
      <t xml:space="preserve">Voor gebruik in Nieuw Guinea - veel crashes en ongelukken, zeker 3 verloren op water, zijn die geborgen? </t>
    </r>
    <r>
      <rPr>
        <sz val="11"/>
        <color rgb="FFFF0000"/>
        <rFont val="Aptos Narrow"/>
        <family val="2"/>
        <scheme val="minor"/>
      </rPr>
      <t>Onderzoek</t>
    </r>
  </si>
  <si>
    <t>Wsl 1 wrak Patipi baai/FakFak</t>
  </si>
  <si>
    <t>KNIL machines hadden wat ongelukken. Geen duidelijke wrakken</t>
  </si>
  <si>
    <t>De J3 noodlanding Oosterschelde, gezonken</t>
  </si>
  <si>
    <t>Wsl geen wrak</t>
  </si>
  <si>
    <t>Eerste toestellen KNIL</t>
  </si>
  <si>
    <t>DLP - MMT</t>
  </si>
  <si>
    <r>
      <t>12 lease USAF AH64A, 30 eerste versie AH64E (1 crah Afghanistan en 1 crash Mali (</t>
    </r>
    <r>
      <rPr>
        <sz val="11"/>
        <color rgb="FFFF0000"/>
        <rFont val="Aptos Narrow"/>
        <family val="2"/>
        <scheme val="minor"/>
      </rPr>
      <t>geborgen</t>
    </r>
    <r>
      <rPr>
        <sz val="11"/>
        <color theme="1"/>
        <rFont val="Aptos Narrow"/>
        <family val="2"/>
        <scheme val="minor"/>
      </rPr>
      <t>?) en 30 se serie AH64E</t>
    </r>
  </si>
  <si>
    <t>wrakken Mali/Afghanistan geborgen?</t>
  </si>
  <si>
    <t>als testkist aangeschaft</t>
  </si>
  <si>
    <t xml:space="preserve">Straaltrainers </t>
  </si>
  <si>
    <t>geen wrakken - allen bestaan nog</t>
  </si>
  <si>
    <t>Klu - DLP - MMT</t>
  </si>
  <si>
    <t>geen wrakken - 1 in NMM, meerdere nog bestaand</t>
  </si>
  <si>
    <t>1 verloren Caribisch gebied en deze is geborgen (waar is het wrak gebleven?)</t>
  </si>
  <si>
    <t>1 wrak in NL opgeslagen</t>
  </si>
  <si>
    <t>USAF toestel, komt van een dump op Biak, na 1949 naar AURI</t>
  </si>
  <si>
    <t>Meerdere ongevallen, geen wrakken. 1 in NMM.</t>
  </si>
  <si>
    <t>Klu - MLD - MLKNIL - RLS</t>
  </si>
  <si>
    <r>
      <t xml:space="preserve">Vanaf 1942 op de RNMFS in de VS  - naoorlogs bij de Klu die een tiental toestellen uitleende aan de MLD - MLKNIL vanaf 1947 - 1949 28 toestellen eegekocht voor vliegopleiding en daarna naar de AURI. Met ook 22 Harvard en Texan van de RLS (daarvan 6 gecrasht). Moeten we de Harvards van de RNMFS ook meetellen? Dan komen er nog toestellen bij.  Zeker 9 van deze toestellen nog aanwezig in NL, drie vliegend. </t>
    </r>
    <r>
      <rPr>
        <sz val="11"/>
        <color rgb="FFFF0000"/>
        <rFont val="Aptos Narrow"/>
        <family val="2"/>
        <scheme val="minor"/>
      </rPr>
      <t>Onderzoek</t>
    </r>
  </si>
  <si>
    <t>Drie Harvards overboord geslagen tijdens overtocht naar NOI.</t>
  </si>
  <si>
    <t>Lichte trainer en transportvliegtuig</t>
  </si>
  <si>
    <t xml:space="preserve">DLP  </t>
  </si>
  <si>
    <t xml:space="preserve">vliegvaardigheidstoestellen </t>
  </si>
  <si>
    <t>observatie, transport en ondersteuning van politieoperaties</t>
  </si>
  <si>
    <t>13 in operatie en 8 besteld. Ook door MLD vliegopleiding gebruikt</t>
  </si>
  <si>
    <t>Manusje van alles: waarneming basisvlucht opleiding licht-transport - veel door naar de civiele vliegerij - 2 bij NMM en 2 bij KLHV. Van de KNIL Piper Cubs is minder bekend, wellicht nog wrak ergens aanwezig. 1 in museum Djokjakarta.</t>
  </si>
  <si>
    <r>
      <t xml:space="preserve">Onder MDAP geleverd - zeer veel ongevallen en crashes vrijwel allen boven land. Allen </t>
    </r>
    <r>
      <rPr>
        <sz val="11"/>
        <color rgb="FFFF0000"/>
        <rFont val="Aptos Narrow"/>
        <family val="2"/>
        <scheme val="minor"/>
      </rPr>
      <t>geborgen</t>
    </r>
    <r>
      <rPr>
        <sz val="11"/>
        <color theme="1"/>
        <rFont val="Aptos Narrow"/>
        <family val="2"/>
        <scheme val="minor"/>
      </rPr>
      <t>? 3 collectie NMM - velen door naar andere landen</t>
    </r>
  </si>
  <si>
    <r>
      <t xml:space="preserve">Onder MDAP geleverd - 75 verloren in crashes, allen boven land (?)  - </t>
    </r>
    <r>
      <rPr>
        <sz val="11"/>
        <color rgb="FFFF0000"/>
        <rFont val="Aptos Narrow"/>
        <family val="2"/>
        <scheme val="minor"/>
      </rPr>
      <t>geborgen</t>
    </r>
    <r>
      <rPr>
        <sz val="11"/>
        <color theme="1"/>
        <rFont val="Aptos Narrow"/>
        <family val="2"/>
        <scheme val="minor"/>
      </rPr>
      <t>? 1 collectie NMM, meerdere als poortwachters (nog steeds?) velenvanuit MDAP naar andere landen</t>
    </r>
  </si>
  <si>
    <r>
      <t xml:space="preserve">Onder MDAP geleverde verkenner - zeven verloren in crahes - </t>
    </r>
    <r>
      <rPr>
        <sz val="11"/>
        <color rgb="FFFF0000"/>
        <rFont val="Aptos Narrow"/>
        <family val="2"/>
        <scheme val="minor"/>
      </rPr>
      <t>geborgen</t>
    </r>
    <r>
      <rPr>
        <sz val="11"/>
        <color theme="1"/>
        <rFont val="Aptos Narrow"/>
        <family val="2"/>
        <scheme val="minor"/>
      </rPr>
      <t>? 1 collectie NMM</t>
    </r>
  </si>
  <si>
    <t xml:space="preserve">geen wrak </t>
  </si>
  <si>
    <t>geinterneerd, niet echt gebruikt</t>
  </si>
  <si>
    <t>geinterneerd en in NOI gebruikt, Tandjong Priok vernield 1918</t>
  </si>
  <si>
    <t>Rumpler C IV</t>
  </si>
  <si>
    <t>1 dag na de wapenstilstand geinterneerd</t>
  </si>
  <si>
    <t xml:space="preserve">Aangekocht na WOI. Veel ongelukken. Neergestort bij Oldeburg (DU), Ede en Soesterberg. </t>
  </si>
  <si>
    <t>Mogelijk wrakken in AUS en/of VS</t>
  </si>
  <si>
    <t xml:space="preserve">Trainer voor MLD en MLKNIL (+10 voor het VVC) in NOI. Deels geevacueerd naar Australië waar nog NL Ryans vliegen, deels door Japan buitgemaakt. 1 vliegend bij Klu Historische Vlucht (de S-16). Van de KNIL Ryans zijn meerdere in Japanse handen gevallenOnderzoek </t>
  </si>
  <si>
    <t>in twee types gebruikt - 2 crashes - meerdere nog vliegend</t>
  </si>
  <si>
    <t xml:space="preserve">Drones: vrijwel alle overheidsdiensten maken momenteel gebruik van drones. Hoe gaan we dit gebruik als nieuw luchtvaarterfgoed vastleggen? Na de Sagem Sperwer van de Landmacht zijn daar Ravens (I en II), Scan Eagles, Integrators en de Puma en Wasp in gebruik gekomen.  </t>
  </si>
  <si>
    <t>wrakken?</t>
  </si>
  <si>
    <t>geinterneerd, niet mee gevlogen</t>
  </si>
  <si>
    <t>Oa ingezet bij Watersnoodramp - niet origineel NL S-51 Aviodrome</t>
  </si>
  <si>
    <t>H2 Salome nu in Aviodrome de twee anderen zijn gecrasht</t>
  </si>
  <si>
    <t>wrakken</t>
  </si>
  <si>
    <t>Vanaf 1991 commercieel KLM - 1 crash - meerdere nog vliegend</t>
  </si>
  <si>
    <t>Vreeburg AM2</t>
  </si>
  <si>
    <t>Tweemotorige bommenwerper</t>
  </si>
  <si>
    <t>Sopwith Baby</t>
  </si>
  <si>
    <t>1 geinterneerd en 1 licentiebouw (niet luchtwaardig)</t>
  </si>
  <si>
    <t>Aankoop - veel problemen</t>
  </si>
  <si>
    <t>aankoop - veel ongelukken - 1 originele motor van de C-16 in Aviodrome</t>
  </si>
  <si>
    <t>oa ingezet in NNG als SAR kist - 1 niet origineel NL kist in NMM</t>
  </si>
  <si>
    <t>erg betrouwbaare lichte heli, oa ingezet voor vervoer kon huis en SAR werk. Veel doorverkocht na uitfaseren - zeker 7+ in NL en 2 in collectie NMM</t>
  </si>
  <si>
    <t xml:space="preserve">Oorlogsbuit. Met oa Japanse vliegers ingezet voor RAPWI en bij 18 Sq voor transport. . </t>
  </si>
  <si>
    <t>De Brouckere K en F</t>
  </si>
  <si>
    <t>Aangekocht, nooit in NOI geweest</t>
  </si>
  <si>
    <t>Lesvliegtuigen - onbetrouwbaar</t>
  </si>
  <si>
    <t>Voor training en liason in AUS en later IND. Een neergestort Canberrea. Een over naar de AURI</t>
  </si>
  <si>
    <t>wsl geen wrak</t>
  </si>
  <si>
    <t>OSRD vliegtuigen. 3 aangekocht voor onderdelen.</t>
  </si>
  <si>
    <t>Vliegboot van de MLKNIL - functioneerde niet - 1 crash</t>
  </si>
  <si>
    <t>Geen NL wrakken</t>
  </si>
  <si>
    <t xml:space="preserve">Ingezet op de RNMFS in Jackson USA voor de vliegopleiding. Toestellen door de VS ter beschikking gesteld en retour USAF na gebruik. Zeker vijf verloren bij ongelukken. </t>
  </si>
  <si>
    <t>Boordheli MLD - meerdere exemplaren in NL musea en collecties. Twee in zee gestort. 1 in collectie NMM.</t>
  </si>
  <si>
    <t>Eerste boordheli MLD - drie in zee gestort (235 en 239 beiden Azoren en 241 Den Helder) geborgen? Geen toestel in NL, meerdere exemplaren naar IND verkocht. Niet NL 235 bij TK de Kooij</t>
  </si>
  <si>
    <t>wsl twee wrakken nabij Azoren</t>
  </si>
  <si>
    <t>Japanse toestellen buitgemaakt en gevlogen voor "Ahrens Airlines" voor RAPWI vluchten. Zeker twee naar de AURI in 1949 en 1 in museum Djokjakarta</t>
  </si>
  <si>
    <t>Fiarchild 24</t>
  </si>
  <si>
    <t>Burgertoestel aangeboden aan MLKNIL - buitgemaakt door Japan</t>
  </si>
  <si>
    <r>
      <t xml:space="preserve">Zie pilot. Vier series van toestellen. Veel crashes en verdwenen toestellen. Meer </t>
    </r>
    <r>
      <rPr>
        <sz val="11"/>
        <color rgb="FFFF0000"/>
        <rFont val="Aptos Narrow"/>
        <family val="2"/>
        <scheme val="minor"/>
      </rPr>
      <t>onderzoek</t>
    </r>
    <r>
      <rPr>
        <sz val="11"/>
        <color theme="1"/>
        <rFont val="Aptos Narrow"/>
        <family val="2"/>
        <scheme val="minor"/>
      </rPr>
      <t xml:space="preserve"> nodig</t>
    </r>
  </si>
  <si>
    <t>wellicht één wrak van een Luftwaffe G1. op de bodem van de Bodensee</t>
  </si>
  <si>
    <t>wsl 1 in Papoea IND</t>
  </si>
  <si>
    <t>Tenminste twee wrakken in Nieuw Guinea/Papua (X-11 en X-13), één noord van Cooktown AUS en de Pelikaan in Australië</t>
  </si>
  <si>
    <t>LEGENDA: LVA = Luchtvaart Afdeling / MLD = Marine Luchtvaartdienst / MLKNIL = Militaire Luchtvaart van het KNIL / Klu = Koninklijke Luchtmacht / NLR = Nationaal Luchtvaart Laboatorium / RLS = Rijks Luchtvaartschool / LSK = Luchtstrijdkrachten / DLP = Dienst Luchtvaart Politie / RNMFS = Royal Netherlands Military Flying School / RAAF = Royal Australian Air Force / RAF = Royal Air Force / US(A)AF = United States (Army) Air Force / ML = (wapen) Militaire Luchtvaart / MTT = Trauma heli / NGAT = Netherlands Government Air Transport</t>
  </si>
  <si>
    <t>type</t>
  </si>
  <si>
    <t>vliegtuig</t>
  </si>
  <si>
    <t>helikopter</t>
  </si>
  <si>
    <t>drijvervliegtuig</t>
  </si>
  <si>
    <t>vliegboot</t>
  </si>
  <si>
    <t>UAV</t>
  </si>
  <si>
    <t>vliegtuig - drijvervliegtuig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</si>
</sst>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8"/>
      <name val="Aptos Narrow"/>
      <family val="2"/>
      <scheme val="minor"/>
    </font>
    <font>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66">
    <xf numFmtId="0" fontId="0" fillId="0" borderId="0" xfId="0"/>
    <xf numFmtId="0" fontId="2" fillId="0" borderId="0" xfId="0" applyFont="1"/>
    <xf numFmtId="0" fontId="0" fillId="0" borderId="0" xfId="0" applyAlignment="1">
      <alignment horizontal="center"/>
    </xf>
    <xf numFmtId="0" fontId="0" fillId="0" borderId="0" xfId="0" applyAlignment="1">
      <alignment horizontal="left" wrapText="1"/>
    </xf>
    <xf numFmtId="0" fontId="2" fillId="0" borderId="1" xfId="0" applyFont="1" applyBorder="1" applyAlignment="1">
      <alignment horizontal="left" wrapText="1"/>
    </xf>
    <xf numFmtId="0" fontId="0" fillId="0" borderId="1" xfId="0" applyBorder="1"/>
    <xf numFmtId="0" fontId="0" fillId="0" borderId="1" xfId="0" applyBorder="1" applyAlignment="1">
      <alignment horizontal="center"/>
    </xf>
    <xf numFmtId="0" fontId="0" fillId="0" borderId="1" xfId="0" applyBorder="1" applyAlignment="1">
      <alignment horizontal="left" wrapText="1"/>
    </xf>
    <xf numFmtId="0" fontId="0" fillId="0" borderId="1" xfId="0" applyBorder="1" applyAlignment="1">
      <alignment horizontal="right"/>
    </xf>
    <xf numFmtId="0" fontId="0" fillId="0" borderId="2" xfId="0" applyBorder="1" applyAlignment="1">
      <alignment horizontal="center"/>
    </xf>
    <xf numFmtId="0" fontId="0" fillId="0" borderId="1" xfId="0" applyBorder="1" applyAlignment="1">
      <alignment wrapText="1"/>
    </xf>
    <xf numFmtId="0" fontId="0" fillId="0" borderId="0" xfId="0" applyAlignment="1">
      <alignment wrapText="1"/>
    </xf>
    <xf numFmtId="0" fontId="2" fillId="0" borderId="1" xfId="0" applyFont="1" applyBorder="1" applyAlignment="1">
      <alignment horizontal="center"/>
    </xf>
    <xf numFmtId="0" fontId="0" fillId="0" borderId="2" xfId="0" applyBorder="1"/>
    <xf numFmtId="0" fontId="0" fillId="0" borderId="2" xfId="0" applyBorder="1" applyAlignment="1">
      <alignment wrapText="1"/>
    </xf>
    <xf numFmtId="0" fontId="0" fillId="0" borderId="3" xfId="0" applyBorder="1"/>
    <xf numFmtId="0" fontId="0" fillId="0" borderId="3" xfId="0" applyBorder="1" applyAlignment="1">
      <alignment wrapText="1"/>
    </xf>
    <xf numFmtId="0" fontId="0" fillId="0" borderId="4" xfId="0" applyBorder="1"/>
    <xf numFmtId="0" fontId="0" fillId="0" borderId="4" xfId="0" applyBorder="1" applyAlignment="1">
      <alignment horizontal="center"/>
    </xf>
    <xf numFmtId="0" fontId="0" fillId="0" borderId="3" xfId="0" applyBorder="1" applyAlignment="1">
      <alignment horizontal="left" wrapText="1"/>
    </xf>
    <xf numFmtId="0" fontId="0" fillId="0" borderId="4" xfId="0" applyBorder="1" applyAlignment="1">
      <alignment wrapText="1"/>
    </xf>
    <xf numFmtId="0" fontId="2" fillId="0" borderId="6" xfId="0" applyFont="1" applyBorder="1" applyAlignment="1">
      <alignment wrapText="1"/>
    </xf>
    <xf numFmtId="0" fontId="2" fillId="0" borderId="6" xfId="0" applyFont="1" applyBorder="1"/>
    <xf numFmtId="0" fontId="2" fillId="0" borderId="7" xfId="0" applyFont="1" applyBorder="1"/>
    <xf numFmtId="0" fontId="2" fillId="0" borderId="7" xfId="0" applyFont="1" applyBorder="1" applyAlignment="1">
      <alignment horizontal="center"/>
    </xf>
    <xf numFmtId="0" fontId="2" fillId="0" borderId="6" xfId="0" applyFont="1" applyBorder="1" applyAlignment="1">
      <alignment horizontal="left" wrapText="1"/>
    </xf>
    <xf numFmtId="0" fontId="2" fillId="0" borderId="7" xfId="0" applyFont="1" applyBorder="1" applyAlignment="1">
      <alignment wrapText="1"/>
    </xf>
    <xf numFmtId="0" fontId="2" fillId="0" borderId="8" xfId="0" applyFont="1" applyBorder="1" applyAlignment="1">
      <alignment wrapText="1"/>
    </xf>
    <xf numFmtId="0" fontId="2" fillId="0" borderId="1" xfId="0" applyFont="1" applyBorder="1"/>
    <xf numFmtId="0" fontId="2" fillId="0" borderId="1" xfId="0" applyFont="1" applyBorder="1" applyAlignment="1">
      <alignment wrapText="1"/>
    </xf>
    <xf numFmtId="0" fontId="2" fillId="0" borderId="5" xfId="0" applyFont="1" applyBorder="1" applyAlignment="1">
      <alignment wrapText="1"/>
    </xf>
    <xf numFmtId="0" fontId="3" fillId="0" borderId="1" xfId="0" applyFont="1" applyBorder="1" applyAlignment="1">
      <alignment vertical="center" wrapText="1"/>
    </xf>
    <xf numFmtId="0" fontId="6" fillId="0" borderId="1" xfId="1" applyFont="1" applyBorder="1" applyAlignment="1">
      <alignment vertical="center" wrapText="1"/>
    </xf>
    <xf numFmtId="0" fontId="0" fillId="0" borderId="0" xfId="0" applyAlignment="1">
      <alignment vertical="center" wrapText="1"/>
    </xf>
    <xf numFmtId="0" fontId="3" fillId="2" borderId="1" xfId="0" applyFont="1" applyFill="1" applyBorder="1" applyAlignment="1">
      <alignment vertical="center" wrapText="1"/>
    </xf>
    <xf numFmtId="0" fontId="0" fillId="2" borderId="1" xfId="0" applyFill="1" applyBorder="1" applyAlignment="1">
      <alignment wrapText="1"/>
    </xf>
    <xf numFmtId="0" fontId="0" fillId="2" borderId="1" xfId="0" applyFill="1" applyBorder="1"/>
    <xf numFmtId="0" fontId="0" fillId="2" borderId="2" xfId="0" applyFill="1" applyBorder="1"/>
    <xf numFmtId="0" fontId="0" fillId="2" borderId="2" xfId="0" applyFill="1" applyBorder="1" applyAlignment="1">
      <alignment horizontal="center"/>
    </xf>
    <xf numFmtId="0" fontId="0" fillId="2" borderId="1" xfId="0" applyFill="1" applyBorder="1" applyAlignment="1">
      <alignment horizontal="left" wrapText="1"/>
    </xf>
    <xf numFmtId="0" fontId="0" fillId="2" borderId="2" xfId="0" applyFill="1" applyBorder="1" applyAlignment="1">
      <alignment wrapText="1"/>
    </xf>
    <xf numFmtId="0" fontId="0" fillId="2" borderId="0" xfId="0" applyFill="1"/>
    <xf numFmtId="0" fontId="0" fillId="2" borderId="1" xfId="0" applyFill="1" applyBorder="1" applyAlignment="1">
      <alignment horizontal="center"/>
    </xf>
    <xf numFmtId="0" fontId="3" fillId="3" borderId="1" xfId="0" applyFont="1" applyFill="1" applyBorder="1" applyAlignment="1">
      <alignment vertical="center" wrapText="1"/>
    </xf>
    <xf numFmtId="0" fontId="0" fillId="3" borderId="1" xfId="0" applyFill="1" applyBorder="1" applyAlignment="1">
      <alignment wrapText="1"/>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wrapText="1"/>
    </xf>
    <xf numFmtId="0" fontId="0" fillId="3" borderId="2" xfId="0" applyFill="1" applyBorder="1" applyAlignment="1">
      <alignment wrapText="1"/>
    </xf>
    <xf numFmtId="0" fontId="0" fillId="3" borderId="0" xfId="0" applyFill="1"/>
    <xf numFmtId="0" fontId="0" fillId="3" borderId="1" xfId="0" applyFill="1" applyBorder="1" applyAlignment="1">
      <alignment horizontal="right"/>
    </xf>
    <xf numFmtId="0" fontId="0" fillId="3" borderId="2" xfId="0" applyFill="1" applyBorder="1"/>
    <xf numFmtId="0" fontId="0" fillId="3" borderId="2" xfId="0" applyFill="1" applyBorder="1" applyAlignment="1">
      <alignment horizontal="center"/>
    </xf>
    <xf numFmtId="0" fontId="0" fillId="3" borderId="0" xfId="0" applyFill="1" applyAlignment="1">
      <alignment wrapText="1"/>
    </xf>
    <xf numFmtId="0" fontId="3" fillId="4" borderId="1" xfId="0" applyFont="1" applyFill="1" applyBorder="1" applyAlignment="1">
      <alignment vertical="center" wrapText="1"/>
    </xf>
    <xf numFmtId="0" fontId="0" fillId="4" borderId="1" xfId="0" applyFill="1" applyBorder="1" applyAlignment="1">
      <alignment wrapText="1"/>
    </xf>
    <xf numFmtId="0" fontId="0" fillId="4" borderId="1" xfId="0" applyFill="1" applyBorder="1"/>
    <xf numFmtId="0" fontId="0" fillId="4" borderId="2" xfId="0" applyFill="1" applyBorder="1"/>
    <xf numFmtId="0" fontId="0" fillId="4" borderId="2" xfId="0" applyFill="1" applyBorder="1" applyAlignment="1">
      <alignment horizontal="center"/>
    </xf>
    <xf numFmtId="0" fontId="0" fillId="4" borderId="1" xfId="0" applyFill="1" applyBorder="1" applyAlignment="1">
      <alignment horizontal="left" wrapText="1"/>
    </xf>
    <xf numFmtId="0" fontId="0" fillId="4" borderId="2" xfId="0" applyFill="1" applyBorder="1" applyAlignment="1">
      <alignment wrapText="1"/>
    </xf>
    <xf numFmtId="0" fontId="0" fillId="4" borderId="1" xfId="0" applyFill="1" applyBorder="1" applyAlignment="1">
      <alignment horizontal="right" wrapText="1"/>
    </xf>
    <xf numFmtId="0" fontId="0" fillId="4" borderId="0" xfId="0" applyFill="1"/>
    <xf numFmtId="0" fontId="0" fillId="4" borderId="1" xfId="0" applyFill="1" applyBorder="1" applyAlignment="1">
      <alignment horizontal="center"/>
    </xf>
    <xf numFmtId="0" fontId="0" fillId="4" borderId="2" xfId="0" applyFill="1" applyBorder="1" applyAlignment="1">
      <alignment vertical="center" wrapText="1"/>
    </xf>
    <xf numFmtId="0" fontId="0" fillId="4" borderId="1" xfId="0" applyFill="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as Kreuger" id="{5D0CC449-F50A-4C36-A3B3-4AEC7B61E57F}" userId="835268cf568ce212"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 dT="2026-01-07T14:17:17.25" personId="{5D0CC449-F50A-4C36-A3B3-4AEC7B61E57F}" id="{ABB9C9ED-4458-4B89-BDB7-EFF908FBA393}">
    <text>Inschatting mogelijke wrakken</text>
  </threadedComment>
  <threadedComment ref="K53" dT="2025-12-18T15:39:23.14" personId="{5D0CC449-F50A-4C36-A3B3-4AEC7B61E57F}" id="{D98A165D-63BA-47A3-81A1-F0EB433F21EF}">
    <text>2 CW-21 (Hogenes en Halberstad) wellicht in zee bij Madoera (3/2/42). Kingma imde Madoera 3/2. Daar ook 2x Zero in het water. CW-21 347 op strand Madoera. 1 CW-21 noodlanding sawa Madoera.</text>
  </threadedComment>
  <threadedComment ref="K76" dT="2026-01-06T11:10:10.40" personId="{5D0CC449-F50A-4C36-A3B3-4AEC7B61E57F}" id="{F4CFA7AE-931C-4CE0-A879-5B137BA8D397}">
    <text>F-2 Noordzee Margate, F9 vermist Noordzee, F-23 in zee Scheveningen, F-24 vermist Asjandmoro NI, F-27 neergeschoten nabij Madoera, K-41 in zee Noordwijk, K-45 in zee Ierland, K-50 in zee vanaf K Doorman, K-68 in zee NNG, K-70 in zee Noordwijk, K-71 noodlanding zee, K76 in zee Kijkduin, K-80 in zee Scheveningen, K-84 in zee Scheveningen, U-16 in zee Scheveningen</text>
  </threadedComment>
  <threadedComment ref="O190" dT="2025-10-28T13:39:12.07" personId="{5D0CC449-F50A-4C36-A3B3-4AEC7B61E57F}" id="{037F4B2C-3A25-4120-9E40-14610A8C3917}">
    <text>320 SQ MLD Crash land: 1 Bourdon (F) 4 KIA - 1 Billeville (F) 2 KIA - 1 Grimbosq - 2 UK Pict Hall 8 KIA - 1 Gran Parc 4 KIA - 1 UK crashlanding - 1 BEL 2 KIA - 1 Melsbroek - 1 UK - 1 Vivra 4 KIA - 1 4 KIA - 1 Fontainblue 4 KIA - 1 Schotland - 1 Chatequ Ansenne 4 KIA - 1 Lisieuz 4 KIA - 1 Meise Korenberg - 1 Tirelemort 5 KIA - 1 Manderfelt 4 KIA - 1 Falaise 4 KIA [] Zee: 1 NNW Dieppe - 1 53.50N 04.55O 4 KIA - 1 52.00N 02.32O - 1 ATL OC Groenl naar UK - 1 Onbk 4 KIA - 1 50.21N 00.45O - 1 Cayeux - 1 50.33N 00.58O - 1 Channel - 1 ATL OC Groenl naar Ijsl 3 KIA</text>
  </threadedComment>
  <threadedComment ref="O190" dT="2025-10-28T15:11:56.27" personId="{5D0CC449-F50A-4C36-A3B3-4AEC7B61E57F}" id="{EE17566D-86D3-40BA-8EC7-4124F9AF79C8}" parentId="{037F4B2C-3A25-4120-9E40-14610A8C3917}">
    <text>Noodlevering 1942: N5-140 (1e reg) verloren ferry Accra / N5-148 verloren PRU missie [] 18 SQ MLKNIL: N5-128 crash Biak / N5-132 crash 3 mi MacDonald / N5-133 noodlanding Melville Island / N5-135 neergeschoten bij Dobo eilanden 5KIA / N5-136 neergeschoten Waingapu 5 KIA / N5-137 neergeschoten Tenau Timor 5KIA / N5-139 crash nabij Darwin, in museum? / N5-140 ditching zee Darwin 5KIA gevonden in jaren 70 / N5-141 crash Macot Sydney geen wrak meer / N5-144 ditching Dili Timor 2KIA / N5-145 crash Batchelor geen wrak / N5-147 ditching Saumlaki NNG 6KIA / N5-150 ditching Villa Nova Lautem Timor 5KIA / N5-152 crash Batchelor geen wrak / N5-153 crash Batchelor geen wrak / N5-155 crash Banks geen wrak / N5-156 Darwin geen wrak / N5-157 Darwin geen wrak / N5-159 verdwenen Aroe eilanden 5KIA / N5-161 crash Drysdale River geen wrak / N5-162 neergeschoten Kai eilanden 6KIA / N5-167 explosie Batchelore geen wrak / N5-169 neergeschoten Larat Molukken 6KIA / N5-174 verdwenen ferry Biak / N5-176 ditching Darwin 6KIA wrak 1987 / N5-177 Neergeschoten Saumlaki Molukken 6KIA  / N5-179 vermist Toel Molukken 6KIA / N5-182 crash Swan Hill geen wrak / N5-185 crash in zee wrak? / N5-191 ditching bij Hawai 4KIA / N5-209 crash Kroja geen wrak / N5-210 neergeschoten Langoer eilanden 6 KIA / N5-211 crash Batchelor geen wrak / N5-214 neergeschoten Langoer eilanden 6 KIA / N5-222 neergeschoten Langoer eilanden 6KIA / N5-230 neergeschoten Kalibanteng Semarang / N5-236 crash Merauke geen wrak / N5-245 crash Andir geen wrak / N5-252 neergeschoten Palembang / N5-253 verbrand Archerfield geen wrak / N5-254 ditching Regent river 1 MIO / N5-255 crash Malino / N5-261 ditching Morortai - Makassar 2KIA / N5-265 ditching Ambon - Biak / N%-299 crash nabij Tokio 1948 geen wrak</text>
  </threadedComment>
  <threadedComment ref="K230" dT="2025-11-18T15:33:29.22" personId="{5D0CC449-F50A-4C36-A3B3-4AEC7B61E57F}" id="{6FCB54AF-40CC-4405-99ED-77A232C804D6}">
    <text>Presentatie Spitfires: 116 stuks. MkIIb: 1 nog in Canadian War Museum (Soebang) en 10 mogelijke wrakken (zie boek HvdM). MkVa en b: 1 toestel in AAM Duxford en 23 mogelijke wrakken.
322 Spitfires: 33 toestellen nader te onderzoeken want naar buitenland verkocht en lot (nog) onbekend. 21 mogelijke wrakken want oha boven land neergeschoten of gecrasht. 9 toestellen zeer waarschijnlijke wrakken want boven water neergeschoten of geditched.
Klu Spitfires na WOII:
1 mogelijk wrak.
Spitfires 322 in Indië: 2 mogelijke wrakken.
Van de NL Spitfires in 2015 18 bekende survivors.
MJ143 in collectie NMM - meegevlogen Dday 1944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5E37-AF68-4A84-8848-D52A4B15E570}">
  <dimension ref="A1:P253"/>
  <sheetViews>
    <sheetView tabSelected="1" topLeftCell="I1" workbookViewId="0">
      <selection activeCell="N192" sqref="N192"/>
    </sheetView>
  </sheetViews>
  <sheetFormatPr defaultRowHeight="14.4" x14ac:dyDescent="0.3"/>
  <cols>
    <col min="1" max="1" width="24.5546875" style="11" customWidth="1"/>
    <col min="2" max="2" width="12.5546875" style="11" customWidth="1"/>
    <col min="3" max="3" width="7.21875" customWidth="1"/>
    <col min="4" max="4" width="8.21875" customWidth="1"/>
    <col min="5" max="5" width="7.33203125" customWidth="1"/>
    <col min="6" max="6" width="7.21875" customWidth="1"/>
    <col min="7" max="7" width="8.21875" customWidth="1"/>
    <col min="8" max="8" width="6.21875" customWidth="1"/>
    <col min="9" max="9" width="9.109375" style="2" customWidth="1"/>
    <col min="10" max="10" width="58.44140625" style="3" customWidth="1"/>
    <col min="11" max="12" width="39.21875" style="11" customWidth="1"/>
    <col min="13" max="13" width="8.6640625" style="11" customWidth="1"/>
    <col min="14" max="14" width="26" customWidth="1"/>
    <col min="15" max="15" width="14.77734375" style="11" customWidth="1"/>
    <col min="16" max="16" width="74.33203125" customWidth="1"/>
  </cols>
  <sheetData>
    <row r="1" spans="1:16" s="1" customFormat="1" ht="43.8" thickBot="1" x14ac:dyDescent="0.35">
      <c r="A1" s="30" t="s">
        <v>0</v>
      </c>
      <c r="B1" s="21" t="s">
        <v>1</v>
      </c>
      <c r="C1" s="22" t="s">
        <v>2</v>
      </c>
      <c r="D1" s="22" t="s">
        <v>3</v>
      </c>
      <c r="E1" s="22" t="s">
        <v>163</v>
      </c>
      <c r="F1" s="22" t="s">
        <v>164</v>
      </c>
      <c r="G1" s="22" t="s">
        <v>165</v>
      </c>
      <c r="H1" s="23" t="s">
        <v>334</v>
      </c>
      <c r="I1" s="24" t="s">
        <v>4</v>
      </c>
      <c r="J1" s="25" t="s">
        <v>5</v>
      </c>
      <c r="K1" s="26" t="s">
        <v>65</v>
      </c>
      <c r="L1" s="26" t="s">
        <v>599</v>
      </c>
      <c r="M1" s="21" t="s">
        <v>363</v>
      </c>
      <c r="N1" s="22"/>
      <c r="O1" s="27" t="s">
        <v>5</v>
      </c>
    </row>
    <row r="2" spans="1:16" ht="88.95" customHeight="1" x14ac:dyDescent="0.3">
      <c r="A2" s="16"/>
      <c r="B2" s="16"/>
      <c r="C2" s="15"/>
      <c r="D2" s="15"/>
      <c r="E2" s="15"/>
      <c r="F2" s="15"/>
      <c r="G2" s="15"/>
      <c r="H2" s="17"/>
      <c r="I2" s="18"/>
      <c r="J2" s="19"/>
      <c r="K2" s="20"/>
      <c r="L2" s="20"/>
      <c r="M2" s="16"/>
      <c r="N2" s="15"/>
      <c r="O2" s="16"/>
      <c r="P2" s="10" t="s">
        <v>598</v>
      </c>
    </row>
    <row r="3" spans="1:16" x14ac:dyDescent="0.3">
      <c r="A3" s="31" t="s">
        <v>67</v>
      </c>
      <c r="B3" s="10" t="s">
        <v>6</v>
      </c>
      <c r="C3" s="5">
        <v>1917</v>
      </c>
      <c r="D3" s="5">
        <v>1918</v>
      </c>
      <c r="E3" s="5">
        <v>1</v>
      </c>
      <c r="F3" s="5"/>
      <c r="G3" s="5"/>
      <c r="H3" s="13"/>
      <c r="I3" s="9">
        <f t="shared" ref="I3:I68" si="0">SUM(E3:H3)</f>
        <v>1</v>
      </c>
      <c r="J3" s="7" t="s">
        <v>7</v>
      </c>
      <c r="K3" s="14" t="s">
        <v>358</v>
      </c>
      <c r="L3" s="14" t="s">
        <v>600</v>
      </c>
      <c r="M3" s="10">
        <v>0</v>
      </c>
      <c r="N3" s="5"/>
      <c r="O3" s="10"/>
    </row>
    <row r="4" spans="1:16" x14ac:dyDescent="0.3">
      <c r="A4" s="31" t="s">
        <v>66</v>
      </c>
      <c r="B4" s="10" t="s">
        <v>8</v>
      </c>
      <c r="C4" s="5">
        <v>1962</v>
      </c>
      <c r="D4" s="5">
        <v>1976</v>
      </c>
      <c r="E4" s="5"/>
      <c r="F4" s="5">
        <v>9</v>
      </c>
      <c r="G4" s="5"/>
      <c r="H4" s="13"/>
      <c r="I4" s="9">
        <f t="shared" si="0"/>
        <v>9</v>
      </c>
      <c r="J4" s="7" t="s">
        <v>40</v>
      </c>
      <c r="K4" s="14" t="s">
        <v>362</v>
      </c>
      <c r="L4" s="14" t="s">
        <v>601</v>
      </c>
      <c r="M4" s="10">
        <v>0</v>
      </c>
      <c r="N4" s="5"/>
      <c r="O4" s="10"/>
    </row>
    <row r="5" spans="1:16" x14ac:dyDescent="0.3">
      <c r="A5" s="31" t="s">
        <v>10</v>
      </c>
      <c r="B5" s="10" t="s">
        <v>9</v>
      </c>
      <c r="C5" s="5">
        <v>1994</v>
      </c>
      <c r="D5" s="5">
        <v>2011</v>
      </c>
      <c r="E5" s="5">
        <v>3</v>
      </c>
      <c r="F5" s="5"/>
      <c r="G5" s="5"/>
      <c r="H5" s="13"/>
      <c r="I5" s="9">
        <f t="shared" si="0"/>
        <v>3</v>
      </c>
      <c r="J5" s="7" t="s">
        <v>11</v>
      </c>
      <c r="K5" s="14" t="s">
        <v>359</v>
      </c>
      <c r="L5" s="14" t="s">
        <v>601</v>
      </c>
      <c r="M5" s="10">
        <v>0</v>
      </c>
      <c r="N5" s="5"/>
      <c r="O5" s="10"/>
    </row>
    <row r="6" spans="1:16" x14ac:dyDescent="0.3">
      <c r="A6" s="31" t="s">
        <v>12</v>
      </c>
      <c r="B6" s="10" t="s">
        <v>6</v>
      </c>
      <c r="C6" s="5">
        <v>1918</v>
      </c>
      <c r="D6" s="5">
        <v>1930</v>
      </c>
      <c r="E6" s="5">
        <v>1</v>
      </c>
      <c r="F6" s="5"/>
      <c r="G6" s="5"/>
      <c r="H6" s="13"/>
      <c r="I6" s="9">
        <f t="shared" si="0"/>
        <v>1</v>
      </c>
      <c r="J6" s="7" t="s">
        <v>13</v>
      </c>
      <c r="K6" s="14" t="s">
        <v>360</v>
      </c>
      <c r="L6" s="14" t="s">
        <v>600</v>
      </c>
      <c r="M6" s="10">
        <v>0</v>
      </c>
      <c r="N6" s="5"/>
      <c r="O6" s="10"/>
    </row>
    <row r="7" spans="1:16" s="62" customFormat="1" ht="28.8" x14ac:dyDescent="0.3">
      <c r="A7" s="54" t="s">
        <v>23</v>
      </c>
      <c r="B7" s="55" t="s">
        <v>14</v>
      </c>
      <c r="C7" s="56">
        <v>1917</v>
      </c>
      <c r="D7" s="56">
        <v>1920</v>
      </c>
      <c r="E7" s="56">
        <v>11</v>
      </c>
      <c r="F7" s="56"/>
      <c r="G7" s="56">
        <v>49</v>
      </c>
      <c r="H7" s="57"/>
      <c r="I7" s="58">
        <f t="shared" si="0"/>
        <v>60</v>
      </c>
      <c r="J7" s="59" t="s">
        <v>364</v>
      </c>
      <c r="K7" s="60" t="s">
        <v>376</v>
      </c>
      <c r="L7" s="60" t="s">
        <v>600</v>
      </c>
      <c r="M7" s="61"/>
      <c r="N7" s="56"/>
      <c r="O7" s="55"/>
    </row>
    <row r="8" spans="1:16" x14ac:dyDescent="0.3">
      <c r="A8" s="31" t="s">
        <v>329</v>
      </c>
      <c r="B8" s="10" t="s">
        <v>330</v>
      </c>
      <c r="C8" s="5">
        <v>2016</v>
      </c>
      <c r="D8" s="8" t="s">
        <v>21</v>
      </c>
      <c r="E8" s="5"/>
      <c r="F8" s="5"/>
      <c r="G8" s="5"/>
      <c r="H8" s="13">
        <v>8</v>
      </c>
      <c r="I8" s="9">
        <f t="shared" si="0"/>
        <v>8</v>
      </c>
      <c r="J8" s="7" t="s">
        <v>331</v>
      </c>
      <c r="K8" s="14" t="s">
        <v>365</v>
      </c>
      <c r="L8" s="14" t="s">
        <v>601</v>
      </c>
      <c r="M8" s="10">
        <v>0</v>
      </c>
      <c r="N8" s="5"/>
      <c r="O8" s="10"/>
    </row>
    <row r="9" spans="1:16" ht="28.8" x14ac:dyDescent="0.3">
      <c r="A9" s="31" t="s">
        <v>24</v>
      </c>
      <c r="B9" s="10" t="s">
        <v>361</v>
      </c>
      <c r="C9" s="5">
        <v>1943</v>
      </c>
      <c r="D9" s="5">
        <v>1953</v>
      </c>
      <c r="E9" s="5">
        <v>28</v>
      </c>
      <c r="F9" s="5">
        <v>6</v>
      </c>
      <c r="G9" s="5"/>
      <c r="H9" s="13"/>
      <c r="I9" s="9">
        <f t="shared" si="0"/>
        <v>34</v>
      </c>
      <c r="J9" s="7" t="s">
        <v>366</v>
      </c>
      <c r="K9" s="14" t="s">
        <v>367</v>
      </c>
      <c r="L9" s="14" t="s">
        <v>600</v>
      </c>
      <c r="M9" s="10">
        <v>0</v>
      </c>
      <c r="N9" s="5"/>
      <c r="O9" s="10"/>
    </row>
    <row r="10" spans="1:16" x14ac:dyDescent="0.3">
      <c r="A10" s="31" t="s">
        <v>225</v>
      </c>
      <c r="B10" s="10" t="s">
        <v>226</v>
      </c>
      <c r="C10" s="5">
        <v>1943</v>
      </c>
      <c r="D10" s="5">
        <v>1949</v>
      </c>
      <c r="E10" s="5"/>
      <c r="F10" s="5"/>
      <c r="G10" s="5"/>
      <c r="H10" s="13">
        <v>2</v>
      </c>
      <c r="I10" s="9">
        <f t="shared" si="0"/>
        <v>2</v>
      </c>
      <c r="J10" s="7" t="s">
        <v>368</v>
      </c>
      <c r="K10" s="14" t="s">
        <v>369</v>
      </c>
      <c r="L10" s="14" t="s">
        <v>600</v>
      </c>
      <c r="M10" s="10"/>
      <c r="N10" s="5"/>
      <c r="O10" s="10"/>
    </row>
    <row r="11" spans="1:16" x14ac:dyDescent="0.3">
      <c r="A11" s="31" t="s">
        <v>25</v>
      </c>
      <c r="B11" s="10" t="s">
        <v>6</v>
      </c>
      <c r="C11" s="5">
        <v>1915</v>
      </c>
      <c r="D11" s="5">
        <v>1919</v>
      </c>
      <c r="E11" s="5">
        <v>1</v>
      </c>
      <c r="F11" s="5"/>
      <c r="G11" s="5"/>
      <c r="H11" s="13"/>
      <c r="I11" s="9">
        <f t="shared" si="0"/>
        <v>1</v>
      </c>
      <c r="J11" s="7" t="s">
        <v>13</v>
      </c>
      <c r="K11" s="14" t="s">
        <v>372</v>
      </c>
      <c r="L11" s="14" t="s">
        <v>600</v>
      </c>
      <c r="M11" s="10">
        <v>0</v>
      </c>
      <c r="N11" s="5"/>
      <c r="O11" s="10"/>
    </row>
    <row r="12" spans="1:16" x14ac:dyDescent="0.3">
      <c r="A12" s="31" t="s">
        <v>26</v>
      </c>
      <c r="B12" s="10" t="s">
        <v>6</v>
      </c>
      <c r="C12" s="5">
        <v>1916</v>
      </c>
      <c r="D12" s="5">
        <v>1917</v>
      </c>
      <c r="E12" s="5">
        <v>2</v>
      </c>
      <c r="F12" s="5"/>
      <c r="G12" s="5"/>
      <c r="H12" s="13"/>
      <c r="I12" s="9">
        <f t="shared" si="0"/>
        <v>2</v>
      </c>
      <c r="J12" s="7" t="s">
        <v>16</v>
      </c>
      <c r="K12" s="14" t="s">
        <v>372</v>
      </c>
      <c r="L12" s="14" t="s">
        <v>600</v>
      </c>
      <c r="M12" s="10">
        <v>0</v>
      </c>
      <c r="N12" s="5"/>
      <c r="O12" s="10"/>
    </row>
    <row r="13" spans="1:16" x14ac:dyDescent="0.3">
      <c r="A13" s="31" t="s">
        <v>27</v>
      </c>
      <c r="B13" s="10" t="s">
        <v>6</v>
      </c>
      <c r="C13" s="5">
        <v>1917</v>
      </c>
      <c r="D13" s="5">
        <v>1920</v>
      </c>
      <c r="E13" s="5">
        <v>1</v>
      </c>
      <c r="F13" s="5"/>
      <c r="G13" s="5"/>
      <c r="H13" s="13"/>
      <c r="I13" s="9">
        <f t="shared" si="0"/>
        <v>1</v>
      </c>
      <c r="J13" s="7" t="s">
        <v>13</v>
      </c>
      <c r="K13" s="14" t="s">
        <v>372</v>
      </c>
      <c r="L13" s="14" t="s">
        <v>600</v>
      </c>
      <c r="M13" s="10">
        <v>0</v>
      </c>
      <c r="N13" s="5"/>
      <c r="O13" s="10"/>
    </row>
    <row r="14" spans="1:16" x14ac:dyDescent="0.3">
      <c r="A14" s="31" t="s">
        <v>29</v>
      </c>
      <c r="B14" s="10" t="s">
        <v>6</v>
      </c>
      <c r="C14" s="5">
        <v>1917</v>
      </c>
      <c r="D14" s="5">
        <v>1920</v>
      </c>
      <c r="E14" s="5">
        <v>2</v>
      </c>
      <c r="F14" s="5"/>
      <c r="G14" s="5"/>
      <c r="H14" s="13"/>
      <c r="I14" s="9">
        <f t="shared" si="0"/>
        <v>2</v>
      </c>
      <c r="J14" s="7" t="s">
        <v>13</v>
      </c>
      <c r="K14" s="14" t="s">
        <v>372</v>
      </c>
      <c r="L14" s="14" t="s">
        <v>600</v>
      </c>
      <c r="M14" s="10">
        <v>0</v>
      </c>
      <c r="N14" s="5"/>
      <c r="O14" s="10"/>
    </row>
    <row r="15" spans="1:16" x14ac:dyDescent="0.3">
      <c r="A15" s="31" t="s">
        <v>28</v>
      </c>
      <c r="B15" s="10" t="s">
        <v>6</v>
      </c>
      <c r="C15" s="5">
        <v>1917</v>
      </c>
      <c r="D15" s="5">
        <v>1920</v>
      </c>
      <c r="E15" s="5">
        <v>1</v>
      </c>
      <c r="F15" s="5"/>
      <c r="G15" s="5"/>
      <c r="H15" s="13"/>
      <c r="I15" s="9">
        <f t="shared" si="0"/>
        <v>1</v>
      </c>
      <c r="J15" s="7" t="s">
        <v>13</v>
      </c>
      <c r="K15" s="14" t="s">
        <v>372</v>
      </c>
      <c r="L15" s="14" t="s">
        <v>600</v>
      </c>
      <c r="M15" s="10">
        <v>0</v>
      </c>
      <c r="N15" s="5"/>
      <c r="O15" s="10"/>
    </row>
    <row r="16" spans="1:16" x14ac:dyDescent="0.3">
      <c r="A16" s="31" t="s">
        <v>30</v>
      </c>
      <c r="B16" s="10" t="s">
        <v>6</v>
      </c>
      <c r="C16" s="5">
        <v>1917</v>
      </c>
      <c r="D16" s="5">
        <v>1925</v>
      </c>
      <c r="E16" s="5">
        <v>1</v>
      </c>
      <c r="F16" s="5"/>
      <c r="G16" s="5"/>
      <c r="H16" s="13"/>
      <c r="I16" s="9">
        <f t="shared" si="0"/>
        <v>1</v>
      </c>
      <c r="J16" s="7" t="s">
        <v>13</v>
      </c>
      <c r="K16" s="14" t="s">
        <v>372</v>
      </c>
      <c r="L16" s="14" t="s">
        <v>600</v>
      </c>
      <c r="M16" s="10">
        <v>0</v>
      </c>
      <c r="N16" s="5"/>
      <c r="O16" s="10"/>
    </row>
    <row r="17" spans="1:15" x14ac:dyDescent="0.3">
      <c r="A17" s="31" t="s">
        <v>31</v>
      </c>
      <c r="B17" s="10" t="s">
        <v>6</v>
      </c>
      <c r="C17" s="5">
        <v>1917</v>
      </c>
      <c r="D17" s="5">
        <v>1920</v>
      </c>
      <c r="E17" s="5">
        <v>1</v>
      </c>
      <c r="F17" s="5"/>
      <c r="G17" s="5"/>
      <c r="H17" s="13"/>
      <c r="I17" s="9">
        <f t="shared" si="0"/>
        <v>1</v>
      </c>
      <c r="J17" s="7" t="s">
        <v>13</v>
      </c>
      <c r="K17" s="14" t="s">
        <v>372</v>
      </c>
      <c r="L17" s="14" t="s">
        <v>600</v>
      </c>
      <c r="M17" s="10">
        <v>0</v>
      </c>
      <c r="N17" s="5"/>
      <c r="O17" s="10"/>
    </row>
    <row r="18" spans="1:15" x14ac:dyDescent="0.3">
      <c r="A18" s="31" t="s">
        <v>32</v>
      </c>
      <c r="B18" s="10" t="s">
        <v>6</v>
      </c>
      <c r="C18" s="5">
        <v>1919</v>
      </c>
      <c r="D18" s="5">
        <v>1925</v>
      </c>
      <c r="E18" s="5">
        <v>2</v>
      </c>
      <c r="F18" s="5"/>
      <c r="G18" s="5"/>
      <c r="H18" s="13"/>
      <c r="I18" s="9">
        <f t="shared" si="0"/>
        <v>2</v>
      </c>
      <c r="J18" s="7" t="s">
        <v>13</v>
      </c>
      <c r="K18" s="14" t="s">
        <v>372</v>
      </c>
      <c r="L18" s="14" t="s">
        <v>600</v>
      </c>
      <c r="M18" s="10">
        <v>0</v>
      </c>
      <c r="N18" s="5"/>
      <c r="O18" s="10"/>
    </row>
    <row r="19" spans="1:15" x14ac:dyDescent="0.3">
      <c r="A19" s="31" t="s">
        <v>33</v>
      </c>
      <c r="B19" s="10" t="s">
        <v>6</v>
      </c>
      <c r="C19" s="5">
        <v>1917</v>
      </c>
      <c r="D19" s="5">
        <v>1918</v>
      </c>
      <c r="E19" s="5">
        <v>1</v>
      </c>
      <c r="F19" s="5"/>
      <c r="G19" s="5"/>
      <c r="H19" s="13"/>
      <c r="I19" s="9">
        <f t="shared" si="0"/>
        <v>1</v>
      </c>
      <c r="J19" s="7" t="s">
        <v>13</v>
      </c>
      <c r="K19" s="14" t="s">
        <v>372</v>
      </c>
      <c r="L19" s="14" t="s">
        <v>600</v>
      </c>
      <c r="M19" s="10">
        <v>0</v>
      </c>
      <c r="N19" s="5"/>
      <c r="O19" s="10"/>
    </row>
    <row r="20" spans="1:15" x14ac:dyDescent="0.3">
      <c r="A20" s="31" t="s">
        <v>34</v>
      </c>
      <c r="B20" s="10" t="s">
        <v>14</v>
      </c>
      <c r="C20" s="5">
        <v>1915</v>
      </c>
      <c r="D20" s="5">
        <v>1938</v>
      </c>
      <c r="E20" s="5">
        <v>2</v>
      </c>
      <c r="F20" s="5"/>
      <c r="G20" s="5">
        <v>52</v>
      </c>
      <c r="H20" s="13"/>
      <c r="I20" s="9">
        <f t="shared" si="0"/>
        <v>54</v>
      </c>
      <c r="J20" s="7" t="s">
        <v>17</v>
      </c>
      <c r="K20" s="14" t="s">
        <v>396</v>
      </c>
      <c r="L20" s="14" t="s">
        <v>600</v>
      </c>
      <c r="M20" s="10"/>
      <c r="N20" s="5"/>
      <c r="O20" s="10"/>
    </row>
    <row r="21" spans="1:15" s="41" customFormat="1" x14ac:dyDescent="0.3">
      <c r="A21" s="34" t="s">
        <v>35</v>
      </c>
      <c r="B21" s="35" t="s">
        <v>18</v>
      </c>
      <c r="C21" s="36">
        <v>1940</v>
      </c>
      <c r="D21" s="36">
        <v>1953</v>
      </c>
      <c r="E21" s="36">
        <v>17</v>
      </c>
      <c r="F21" s="36">
        <v>25</v>
      </c>
      <c r="G21" s="36"/>
      <c r="H21" s="37"/>
      <c r="I21" s="38">
        <f t="shared" si="0"/>
        <v>42</v>
      </c>
      <c r="J21" s="39" t="s">
        <v>387</v>
      </c>
      <c r="K21" s="40" t="s">
        <v>388</v>
      </c>
      <c r="L21" s="40" t="s">
        <v>600</v>
      </c>
      <c r="M21" s="35">
        <v>1</v>
      </c>
      <c r="N21" s="36"/>
      <c r="O21" s="35"/>
    </row>
    <row r="22" spans="1:15" x14ac:dyDescent="0.3">
      <c r="A22" s="31" t="s">
        <v>321</v>
      </c>
      <c r="B22" s="10" t="s">
        <v>486</v>
      </c>
      <c r="C22" s="5">
        <v>2009</v>
      </c>
      <c r="D22" s="8" t="s">
        <v>21</v>
      </c>
      <c r="E22" s="5">
        <v>0</v>
      </c>
      <c r="F22" s="5"/>
      <c r="G22" s="5"/>
      <c r="H22" s="13">
        <v>3</v>
      </c>
      <c r="I22" s="9">
        <f t="shared" si="0"/>
        <v>3</v>
      </c>
      <c r="J22" s="7" t="s">
        <v>397</v>
      </c>
      <c r="K22" s="14"/>
      <c r="L22" s="14" t="s">
        <v>601</v>
      </c>
      <c r="M22" s="10">
        <v>0</v>
      </c>
      <c r="N22" s="5"/>
      <c r="O22" s="10"/>
    </row>
    <row r="23" spans="1:15" x14ac:dyDescent="0.3">
      <c r="A23" s="31" t="s">
        <v>300</v>
      </c>
      <c r="B23" s="10" t="s">
        <v>296</v>
      </c>
      <c r="C23" s="5">
        <v>2022</v>
      </c>
      <c r="D23" s="8" t="s">
        <v>21</v>
      </c>
      <c r="E23" s="5"/>
      <c r="F23" s="5"/>
      <c r="G23" s="5"/>
      <c r="H23" s="13">
        <v>4</v>
      </c>
      <c r="I23" s="9">
        <f t="shared" si="0"/>
        <v>4</v>
      </c>
      <c r="J23" s="7" t="s">
        <v>301</v>
      </c>
      <c r="K23" s="14"/>
      <c r="L23" s="14" t="s">
        <v>601</v>
      </c>
      <c r="M23" s="10">
        <v>0</v>
      </c>
      <c r="N23" s="5"/>
      <c r="O23" s="10"/>
    </row>
    <row r="24" spans="1:15" ht="43.2" x14ac:dyDescent="0.3">
      <c r="A24" s="31" t="s">
        <v>223</v>
      </c>
      <c r="B24" s="10" t="s">
        <v>224</v>
      </c>
      <c r="C24" s="5">
        <v>1944</v>
      </c>
      <c r="D24" s="5">
        <v>1956</v>
      </c>
      <c r="E24" s="5">
        <v>20</v>
      </c>
      <c r="F24" s="5"/>
      <c r="G24" s="5">
        <v>36</v>
      </c>
      <c r="H24" s="13"/>
      <c r="I24" s="9">
        <f t="shared" si="0"/>
        <v>56</v>
      </c>
      <c r="J24" s="7" t="s">
        <v>389</v>
      </c>
      <c r="K24" s="14" t="s">
        <v>390</v>
      </c>
      <c r="L24" s="14" t="s">
        <v>600</v>
      </c>
      <c r="M24" s="10">
        <v>0</v>
      </c>
      <c r="N24" s="5"/>
      <c r="O24" s="10"/>
    </row>
    <row r="25" spans="1:15" ht="28.8" x14ac:dyDescent="0.3">
      <c r="A25" s="31" t="s">
        <v>36</v>
      </c>
      <c r="B25" s="10" t="s">
        <v>335</v>
      </c>
      <c r="C25" s="5">
        <v>1942</v>
      </c>
      <c r="D25" s="5">
        <v>1944</v>
      </c>
      <c r="E25" s="5"/>
      <c r="F25" s="5"/>
      <c r="G25" s="5"/>
      <c r="H25" s="13">
        <v>34</v>
      </c>
      <c r="I25" s="9">
        <f t="shared" si="0"/>
        <v>34</v>
      </c>
      <c r="J25" s="7" t="s">
        <v>393</v>
      </c>
      <c r="K25" s="14" t="s">
        <v>391</v>
      </c>
      <c r="L25" s="14" t="s">
        <v>600</v>
      </c>
      <c r="M25" s="10">
        <v>0</v>
      </c>
      <c r="N25" s="5"/>
      <c r="O25" s="10"/>
    </row>
    <row r="26" spans="1:15" ht="28.8" x14ac:dyDescent="0.3">
      <c r="A26" s="31" t="s">
        <v>352</v>
      </c>
      <c r="B26" s="10" t="s">
        <v>342</v>
      </c>
      <c r="C26" s="5">
        <v>1978</v>
      </c>
      <c r="D26" s="5">
        <v>1991</v>
      </c>
      <c r="E26" s="5"/>
      <c r="F26" s="5"/>
      <c r="G26" s="5"/>
      <c r="H26" s="13">
        <v>19</v>
      </c>
      <c r="I26" s="9">
        <f t="shared" si="0"/>
        <v>19</v>
      </c>
      <c r="J26" s="7" t="s">
        <v>356</v>
      </c>
      <c r="K26" s="14" t="s">
        <v>398</v>
      </c>
      <c r="L26" s="14" t="s">
        <v>600</v>
      </c>
      <c r="M26" s="10">
        <v>0</v>
      </c>
      <c r="N26" s="5"/>
      <c r="O26" s="10"/>
    </row>
    <row r="27" spans="1:15" x14ac:dyDescent="0.3">
      <c r="A27" s="31" t="s">
        <v>37</v>
      </c>
      <c r="B27" s="10" t="s">
        <v>19</v>
      </c>
      <c r="C27" s="5">
        <v>1941</v>
      </c>
      <c r="D27" s="5">
        <v>1945</v>
      </c>
      <c r="E27" s="5">
        <v>1</v>
      </c>
      <c r="F27" s="5"/>
      <c r="G27" s="5"/>
      <c r="H27" s="13"/>
      <c r="I27" s="9">
        <f t="shared" si="0"/>
        <v>1</v>
      </c>
      <c r="J27" s="7" t="s">
        <v>22</v>
      </c>
      <c r="K27" s="14" t="s">
        <v>399</v>
      </c>
      <c r="L27" s="14" t="s">
        <v>600</v>
      </c>
      <c r="M27" s="10">
        <v>0</v>
      </c>
      <c r="N27" s="5"/>
      <c r="O27" s="10"/>
    </row>
    <row r="28" spans="1:15" ht="28.8" x14ac:dyDescent="0.3">
      <c r="A28" s="31" t="s">
        <v>38</v>
      </c>
      <c r="B28" s="10" t="s">
        <v>325</v>
      </c>
      <c r="C28" s="5">
        <v>1943</v>
      </c>
      <c r="D28" s="5">
        <v>1974</v>
      </c>
      <c r="E28" s="5">
        <v>32</v>
      </c>
      <c r="F28" s="5">
        <v>6</v>
      </c>
      <c r="G28" s="5"/>
      <c r="H28" s="13">
        <v>15</v>
      </c>
      <c r="I28" s="9">
        <f t="shared" si="0"/>
        <v>53</v>
      </c>
      <c r="J28" s="7" t="s">
        <v>354</v>
      </c>
      <c r="K28" s="14" t="s">
        <v>392</v>
      </c>
      <c r="L28" s="14" t="s">
        <v>600</v>
      </c>
      <c r="M28" s="10">
        <v>0</v>
      </c>
      <c r="N28" s="5"/>
      <c r="O28" s="10"/>
    </row>
    <row r="29" spans="1:15" x14ac:dyDescent="0.3">
      <c r="A29" s="31" t="s">
        <v>316</v>
      </c>
      <c r="B29" s="10" t="s">
        <v>486</v>
      </c>
      <c r="C29" s="5">
        <v>1991</v>
      </c>
      <c r="D29" s="5">
        <v>1992</v>
      </c>
      <c r="E29" s="5"/>
      <c r="F29" s="5"/>
      <c r="G29" s="5"/>
      <c r="H29" s="13">
        <v>1</v>
      </c>
      <c r="I29" s="9">
        <f t="shared" si="0"/>
        <v>1</v>
      </c>
      <c r="J29" s="7" t="s">
        <v>315</v>
      </c>
      <c r="K29" s="14"/>
      <c r="L29" s="14" t="s">
        <v>601</v>
      </c>
      <c r="M29" s="10">
        <v>0</v>
      </c>
      <c r="N29" s="5"/>
      <c r="O29" s="10"/>
    </row>
    <row r="30" spans="1:15" ht="28.05" customHeight="1" x14ac:dyDescent="0.3">
      <c r="A30" s="31" t="s">
        <v>308</v>
      </c>
      <c r="B30" s="10" t="s">
        <v>305</v>
      </c>
      <c r="C30" s="5">
        <v>2018</v>
      </c>
      <c r="D30" s="8" t="s">
        <v>21</v>
      </c>
      <c r="E30" s="5"/>
      <c r="F30" s="5"/>
      <c r="G30" s="5"/>
      <c r="H30" s="13">
        <v>1</v>
      </c>
      <c r="I30" s="9">
        <f t="shared" si="0"/>
        <v>1</v>
      </c>
      <c r="J30" s="7" t="s">
        <v>309</v>
      </c>
      <c r="K30" s="14"/>
      <c r="L30" s="14" t="s">
        <v>600</v>
      </c>
      <c r="M30" s="10">
        <v>0</v>
      </c>
      <c r="N30" s="5"/>
      <c r="O30" s="10"/>
    </row>
    <row r="31" spans="1:15" s="49" customFormat="1" ht="62.55" customHeight="1" x14ac:dyDescent="0.3">
      <c r="A31" s="43" t="s">
        <v>39</v>
      </c>
      <c r="B31" s="44" t="s">
        <v>20</v>
      </c>
      <c r="C31" s="45">
        <v>1995</v>
      </c>
      <c r="D31" s="50" t="s">
        <v>21</v>
      </c>
      <c r="E31" s="45">
        <v>22</v>
      </c>
      <c r="F31" s="45"/>
      <c r="G31" s="45"/>
      <c r="H31" s="51"/>
      <c r="I31" s="52">
        <f t="shared" si="0"/>
        <v>22</v>
      </c>
      <c r="J31" s="47" t="s">
        <v>394</v>
      </c>
      <c r="K31" s="48" t="s">
        <v>400</v>
      </c>
      <c r="L31" s="48" t="s">
        <v>601</v>
      </c>
      <c r="M31" s="44">
        <v>1</v>
      </c>
      <c r="N31" s="45"/>
      <c r="O31" s="44"/>
    </row>
    <row r="32" spans="1:15" s="41" customFormat="1" ht="54.45" customHeight="1" x14ac:dyDescent="0.3">
      <c r="A32" s="34" t="s">
        <v>42</v>
      </c>
      <c r="B32" s="35" t="s">
        <v>8</v>
      </c>
      <c r="C32" s="36">
        <v>1969</v>
      </c>
      <c r="D32" s="36">
        <v>1984</v>
      </c>
      <c r="E32" s="36"/>
      <c r="F32" s="36">
        <v>9</v>
      </c>
      <c r="G32" s="36"/>
      <c r="H32" s="37"/>
      <c r="I32" s="38">
        <f t="shared" si="0"/>
        <v>9</v>
      </c>
      <c r="J32" s="39" t="s">
        <v>402</v>
      </c>
      <c r="K32" s="40" t="s">
        <v>401</v>
      </c>
      <c r="L32" s="40" t="s">
        <v>600</v>
      </c>
      <c r="M32" s="35">
        <v>2</v>
      </c>
      <c r="N32" s="36"/>
      <c r="O32" s="35"/>
    </row>
    <row r="33" spans="1:15" s="41" customFormat="1" ht="145.94999999999999" customHeight="1" x14ac:dyDescent="0.3">
      <c r="A33" s="34" t="s">
        <v>43</v>
      </c>
      <c r="B33" s="35" t="s">
        <v>41</v>
      </c>
      <c r="C33" s="36">
        <v>1940</v>
      </c>
      <c r="D33" s="36">
        <v>1942</v>
      </c>
      <c r="E33" s="36"/>
      <c r="F33" s="36"/>
      <c r="G33" s="36">
        <v>72</v>
      </c>
      <c r="H33" s="37"/>
      <c r="I33" s="38">
        <f t="shared" si="0"/>
        <v>72</v>
      </c>
      <c r="J33" s="39" t="s">
        <v>44</v>
      </c>
      <c r="K33" s="40" t="s">
        <v>423</v>
      </c>
      <c r="L33" s="40" t="s">
        <v>600</v>
      </c>
      <c r="M33" s="35">
        <v>4</v>
      </c>
      <c r="N33" s="36"/>
      <c r="O33" s="35" t="s">
        <v>424</v>
      </c>
    </row>
    <row r="34" spans="1:15" x14ac:dyDescent="0.3">
      <c r="A34" s="31" t="s">
        <v>47</v>
      </c>
      <c r="B34" s="10" t="s">
        <v>6</v>
      </c>
      <c r="C34" s="5">
        <v>1917</v>
      </c>
      <c r="D34" s="5">
        <v>1920</v>
      </c>
      <c r="E34" s="5">
        <v>1</v>
      </c>
      <c r="F34" s="5"/>
      <c r="G34" s="5"/>
      <c r="H34" s="13"/>
      <c r="I34" s="9">
        <f t="shared" si="0"/>
        <v>1</v>
      </c>
      <c r="J34" s="7" t="s">
        <v>15</v>
      </c>
      <c r="K34" s="14" t="s">
        <v>372</v>
      </c>
      <c r="L34" s="14" t="s">
        <v>600</v>
      </c>
      <c r="M34" s="10">
        <v>0</v>
      </c>
      <c r="N34" s="5"/>
      <c r="O34" s="10"/>
    </row>
    <row r="35" spans="1:15" ht="57.6" x14ac:dyDescent="0.3">
      <c r="A35" s="31" t="s">
        <v>48</v>
      </c>
      <c r="B35" s="10" t="s">
        <v>45</v>
      </c>
      <c r="C35" s="5">
        <v>1937</v>
      </c>
      <c r="D35" s="5">
        <v>1942</v>
      </c>
      <c r="E35" s="5">
        <v>1</v>
      </c>
      <c r="F35" s="5"/>
      <c r="G35" s="5">
        <v>6</v>
      </c>
      <c r="H35" s="13"/>
      <c r="I35" s="9">
        <f t="shared" si="0"/>
        <v>7</v>
      </c>
      <c r="J35" s="7" t="s">
        <v>46</v>
      </c>
      <c r="K35" s="14" t="s">
        <v>403</v>
      </c>
      <c r="L35" s="14" t="s">
        <v>600</v>
      </c>
      <c r="M35" s="10">
        <v>0</v>
      </c>
      <c r="N35" s="5"/>
      <c r="O35" s="10" t="s">
        <v>404</v>
      </c>
    </row>
    <row r="36" spans="1:15" s="62" customFormat="1" ht="43.2" x14ac:dyDescent="0.3">
      <c r="A36" s="54" t="s">
        <v>50</v>
      </c>
      <c r="B36" s="55" t="s">
        <v>8</v>
      </c>
      <c r="C36" s="56">
        <v>1919</v>
      </c>
      <c r="D36" s="56">
        <v>1934</v>
      </c>
      <c r="E36" s="56"/>
      <c r="F36" s="56">
        <v>41</v>
      </c>
      <c r="G36" s="56"/>
      <c r="H36" s="57"/>
      <c r="I36" s="58">
        <f t="shared" si="0"/>
        <v>41</v>
      </c>
      <c r="J36" s="59" t="s">
        <v>49</v>
      </c>
      <c r="K36" s="60" t="s">
        <v>405</v>
      </c>
      <c r="L36" s="60" t="s">
        <v>602</v>
      </c>
      <c r="M36" s="55"/>
      <c r="N36" s="56"/>
      <c r="O36" s="55"/>
    </row>
    <row r="37" spans="1:15" x14ac:dyDescent="0.3">
      <c r="A37" s="31" t="s">
        <v>52</v>
      </c>
      <c r="B37" s="10" t="s">
        <v>8</v>
      </c>
      <c r="C37" s="5">
        <v>1921</v>
      </c>
      <c r="D37" s="5">
        <v>1933</v>
      </c>
      <c r="E37" s="5"/>
      <c r="F37" s="5">
        <v>6</v>
      </c>
      <c r="G37" s="5"/>
      <c r="H37" s="5"/>
      <c r="I37" s="6">
        <f t="shared" si="0"/>
        <v>6</v>
      </c>
      <c r="J37" s="7" t="s">
        <v>51</v>
      </c>
      <c r="K37" s="14"/>
      <c r="L37" s="60" t="s">
        <v>602</v>
      </c>
      <c r="M37" s="10">
        <v>0</v>
      </c>
      <c r="N37" s="5"/>
      <c r="O37" s="10"/>
    </row>
    <row r="38" spans="1:15" s="41" customFormat="1" ht="28.8" x14ac:dyDescent="0.3">
      <c r="A38" s="34" t="s">
        <v>382</v>
      </c>
      <c r="B38" s="35" t="s">
        <v>41</v>
      </c>
      <c r="C38" s="36">
        <v>1944</v>
      </c>
      <c r="D38" s="36">
        <v>1944</v>
      </c>
      <c r="E38" s="36"/>
      <c r="F38" s="36"/>
      <c r="G38" s="36">
        <v>1</v>
      </c>
      <c r="H38" s="36"/>
      <c r="I38" s="42">
        <f t="shared" si="0"/>
        <v>1</v>
      </c>
      <c r="J38" s="39" t="s">
        <v>383</v>
      </c>
      <c r="K38" s="40" t="s">
        <v>384</v>
      </c>
      <c r="L38" s="40" t="s">
        <v>600</v>
      </c>
      <c r="M38" s="35">
        <v>1</v>
      </c>
      <c r="N38" s="36"/>
      <c r="O38" s="35"/>
    </row>
    <row r="39" spans="1:15" x14ac:dyDescent="0.3">
      <c r="A39" s="31" t="s">
        <v>53</v>
      </c>
      <c r="B39" s="10" t="s">
        <v>6</v>
      </c>
      <c r="C39" s="5">
        <v>1918</v>
      </c>
      <c r="D39" s="5">
        <v>1925</v>
      </c>
      <c r="E39" s="5">
        <v>5</v>
      </c>
      <c r="F39" s="5"/>
      <c r="G39" s="5"/>
      <c r="H39" s="5"/>
      <c r="I39" s="6">
        <f t="shared" si="0"/>
        <v>5</v>
      </c>
      <c r="J39" s="7" t="s">
        <v>406</v>
      </c>
      <c r="K39" s="14"/>
      <c r="L39" s="14" t="s">
        <v>600</v>
      </c>
      <c r="M39" s="10">
        <v>0</v>
      </c>
      <c r="N39" s="5"/>
      <c r="O39" s="10"/>
    </row>
    <row r="40" spans="1:15" s="41" customFormat="1" ht="28.8" x14ac:dyDescent="0.3">
      <c r="A40" s="34" t="s">
        <v>351</v>
      </c>
      <c r="B40" s="35" t="s">
        <v>342</v>
      </c>
      <c r="C40" s="36">
        <v>1972</v>
      </c>
      <c r="D40" s="36">
        <v>1980</v>
      </c>
      <c r="E40" s="36"/>
      <c r="F40" s="36"/>
      <c r="G40" s="36"/>
      <c r="H40" s="36">
        <v>8</v>
      </c>
      <c r="I40" s="42">
        <f t="shared" si="0"/>
        <v>8</v>
      </c>
      <c r="J40" s="39" t="s">
        <v>408</v>
      </c>
      <c r="K40" s="40" t="s">
        <v>407</v>
      </c>
      <c r="L40" s="40" t="s">
        <v>600</v>
      </c>
      <c r="M40" s="35">
        <v>1</v>
      </c>
      <c r="N40" s="36"/>
      <c r="O40" s="35"/>
    </row>
    <row r="41" spans="1:15" x14ac:dyDescent="0.3">
      <c r="A41" s="31" t="s">
        <v>353</v>
      </c>
      <c r="B41" s="10" t="s">
        <v>342</v>
      </c>
      <c r="C41" s="5">
        <v>1980</v>
      </c>
      <c r="D41" s="5">
        <v>1992</v>
      </c>
      <c r="E41" s="5"/>
      <c r="F41" s="5"/>
      <c r="G41" s="5"/>
      <c r="H41" s="5">
        <v>8</v>
      </c>
      <c r="I41" s="6">
        <f t="shared" si="0"/>
        <v>8</v>
      </c>
      <c r="J41" s="7" t="s">
        <v>409</v>
      </c>
      <c r="K41" s="14"/>
      <c r="L41" s="14" t="s">
        <v>600</v>
      </c>
      <c r="M41" s="10">
        <v>0</v>
      </c>
      <c r="N41" s="5"/>
      <c r="O41" s="10"/>
    </row>
    <row r="42" spans="1:15" x14ac:dyDescent="0.3">
      <c r="A42" s="31" t="s">
        <v>310</v>
      </c>
      <c r="B42" s="10" t="s">
        <v>486</v>
      </c>
      <c r="C42" s="5">
        <v>1961</v>
      </c>
      <c r="D42" s="5">
        <v>1984</v>
      </c>
      <c r="E42" s="5"/>
      <c r="F42" s="5"/>
      <c r="G42" s="5"/>
      <c r="H42" s="5">
        <v>6</v>
      </c>
      <c r="I42" s="6">
        <f t="shared" si="0"/>
        <v>6</v>
      </c>
      <c r="J42" s="7" t="s">
        <v>410</v>
      </c>
      <c r="K42" s="14" t="s">
        <v>411</v>
      </c>
      <c r="L42" s="14" t="s">
        <v>600</v>
      </c>
      <c r="M42" s="10">
        <v>0</v>
      </c>
      <c r="N42" s="5"/>
      <c r="O42" s="10"/>
    </row>
    <row r="43" spans="1:15" x14ac:dyDescent="0.3">
      <c r="A43" s="31" t="s">
        <v>311</v>
      </c>
      <c r="B43" s="10" t="s">
        <v>486</v>
      </c>
      <c r="C43" s="5">
        <v>1973</v>
      </c>
      <c r="D43" s="5">
        <v>1988</v>
      </c>
      <c r="E43" s="5"/>
      <c r="F43" s="5"/>
      <c r="G43" s="5"/>
      <c r="H43" s="5">
        <v>2</v>
      </c>
      <c r="I43" s="6">
        <f t="shared" si="0"/>
        <v>2</v>
      </c>
      <c r="J43" s="7" t="s">
        <v>412</v>
      </c>
      <c r="K43" s="14" t="s">
        <v>413</v>
      </c>
      <c r="L43" s="14" t="s">
        <v>600</v>
      </c>
      <c r="M43" s="10">
        <v>0</v>
      </c>
      <c r="N43" s="5"/>
      <c r="O43" s="10"/>
    </row>
    <row r="44" spans="1:15" x14ac:dyDescent="0.3">
      <c r="A44" s="31" t="s">
        <v>313</v>
      </c>
      <c r="B44" s="10" t="s">
        <v>486</v>
      </c>
      <c r="C44" s="5">
        <v>1984</v>
      </c>
      <c r="D44" s="5">
        <v>2014</v>
      </c>
      <c r="E44" s="5"/>
      <c r="F44" s="5"/>
      <c r="G44" s="5"/>
      <c r="H44" s="5">
        <v>3</v>
      </c>
      <c r="I44" s="6">
        <f t="shared" si="0"/>
        <v>3</v>
      </c>
      <c r="J44" s="7" t="s">
        <v>414</v>
      </c>
      <c r="K44" s="14" t="s">
        <v>413</v>
      </c>
      <c r="L44" s="14" t="s">
        <v>600</v>
      </c>
      <c r="M44" s="10">
        <v>0</v>
      </c>
      <c r="N44" s="5"/>
      <c r="O44" s="10"/>
    </row>
    <row r="45" spans="1:15" x14ac:dyDescent="0.3">
      <c r="A45" s="31" t="s">
        <v>345</v>
      </c>
      <c r="B45" s="10" t="s">
        <v>342</v>
      </c>
      <c r="C45" s="5">
        <v>1972</v>
      </c>
      <c r="D45" s="5">
        <v>1995</v>
      </c>
      <c r="E45" s="5"/>
      <c r="F45" s="5"/>
      <c r="G45" s="5"/>
      <c r="H45" s="5">
        <v>7</v>
      </c>
      <c r="I45" s="6">
        <f t="shared" si="0"/>
        <v>7</v>
      </c>
      <c r="J45" s="7" t="s">
        <v>415</v>
      </c>
      <c r="K45" s="14" t="s">
        <v>413</v>
      </c>
      <c r="L45" s="14" t="s">
        <v>600</v>
      </c>
      <c r="M45" s="10">
        <v>0</v>
      </c>
      <c r="N45" s="5"/>
      <c r="O45" s="10"/>
    </row>
    <row r="46" spans="1:15" s="41" customFormat="1" ht="28.8" x14ac:dyDescent="0.3">
      <c r="A46" s="34" t="s">
        <v>54</v>
      </c>
      <c r="B46" s="35" t="s">
        <v>41</v>
      </c>
      <c r="C46" s="36">
        <v>1946</v>
      </c>
      <c r="D46" s="36">
        <v>1949</v>
      </c>
      <c r="E46" s="36"/>
      <c r="F46" s="36"/>
      <c r="G46" s="36">
        <v>51</v>
      </c>
      <c r="H46" s="36"/>
      <c r="I46" s="42">
        <f t="shared" si="0"/>
        <v>51</v>
      </c>
      <c r="J46" s="39" t="s">
        <v>416</v>
      </c>
      <c r="K46" s="40" t="s">
        <v>417</v>
      </c>
      <c r="L46" s="40" t="s">
        <v>600</v>
      </c>
      <c r="M46" s="35">
        <v>1</v>
      </c>
      <c r="N46" s="36"/>
      <c r="O46" s="35"/>
    </row>
    <row r="47" spans="1:15" s="41" customFormat="1" ht="28.8" x14ac:dyDescent="0.3">
      <c r="A47" s="34" t="s">
        <v>55</v>
      </c>
      <c r="B47" s="35" t="s">
        <v>8</v>
      </c>
      <c r="C47" s="36">
        <v>1944</v>
      </c>
      <c r="D47" s="36">
        <v>1945</v>
      </c>
      <c r="E47" s="36"/>
      <c r="F47" s="36">
        <v>23</v>
      </c>
      <c r="G47" s="36"/>
      <c r="H47" s="36"/>
      <c r="I47" s="42">
        <f t="shared" si="0"/>
        <v>23</v>
      </c>
      <c r="J47" s="39" t="s">
        <v>418</v>
      </c>
      <c r="K47" s="40" t="s">
        <v>419</v>
      </c>
      <c r="L47" s="40" t="s">
        <v>600</v>
      </c>
      <c r="M47" s="35">
        <v>1</v>
      </c>
      <c r="N47" s="36"/>
      <c r="O47" s="35"/>
    </row>
    <row r="48" spans="1:15" s="49" customFormat="1" ht="43.2" x14ac:dyDescent="0.3">
      <c r="A48" s="43" t="s">
        <v>56</v>
      </c>
      <c r="B48" s="44" t="s">
        <v>8</v>
      </c>
      <c r="C48" s="45">
        <v>1941</v>
      </c>
      <c r="D48" s="45">
        <v>1957</v>
      </c>
      <c r="E48" s="45"/>
      <c r="F48" s="45">
        <v>54</v>
      </c>
      <c r="G48" s="45"/>
      <c r="H48" s="45"/>
      <c r="I48" s="46">
        <f t="shared" si="0"/>
        <v>54</v>
      </c>
      <c r="J48" s="47" t="s">
        <v>378</v>
      </c>
      <c r="K48" s="48" t="s">
        <v>379</v>
      </c>
      <c r="L48" s="48" t="s">
        <v>603</v>
      </c>
      <c r="M48" s="44">
        <v>11</v>
      </c>
      <c r="N48" s="45"/>
      <c r="O48" s="44"/>
    </row>
    <row r="49" spans="1:15" ht="22.05" customHeight="1" x14ac:dyDescent="0.3">
      <c r="A49" s="31" t="s">
        <v>58</v>
      </c>
      <c r="B49" s="10" t="s">
        <v>8</v>
      </c>
      <c r="C49" s="5">
        <v>1918</v>
      </c>
      <c r="D49" s="5">
        <v>1918</v>
      </c>
      <c r="E49" s="5"/>
      <c r="F49" s="5">
        <v>1</v>
      </c>
      <c r="G49" s="5"/>
      <c r="H49" s="5"/>
      <c r="I49" s="6">
        <f t="shared" si="0"/>
        <v>1</v>
      </c>
      <c r="J49" s="7" t="s">
        <v>15</v>
      </c>
      <c r="K49" s="14" t="s">
        <v>413</v>
      </c>
      <c r="L49" s="14" t="s">
        <v>600</v>
      </c>
      <c r="N49" s="5"/>
      <c r="O49" s="10"/>
    </row>
    <row r="50" spans="1:15" s="62" customFormat="1" ht="74.55" customHeight="1" x14ac:dyDescent="0.3">
      <c r="A50" s="54" t="s">
        <v>59</v>
      </c>
      <c r="B50" s="55" t="s">
        <v>41</v>
      </c>
      <c r="C50" s="56">
        <v>1940</v>
      </c>
      <c r="D50" s="56">
        <v>1942</v>
      </c>
      <c r="E50" s="56"/>
      <c r="F50" s="56"/>
      <c r="G50" s="56">
        <v>20</v>
      </c>
      <c r="H50" s="56"/>
      <c r="I50" s="63">
        <f t="shared" si="0"/>
        <v>20</v>
      </c>
      <c r="J50" s="59" t="s">
        <v>57</v>
      </c>
      <c r="K50" s="64" t="s">
        <v>375</v>
      </c>
      <c r="L50" s="60" t="s">
        <v>600</v>
      </c>
      <c r="M50" s="10">
        <v>0</v>
      </c>
      <c r="N50" s="56"/>
      <c r="O50" s="55"/>
    </row>
    <row r="51" spans="1:15" ht="28.8" x14ac:dyDescent="0.3">
      <c r="A51" s="32" t="s">
        <v>420</v>
      </c>
      <c r="B51" s="10" t="s">
        <v>41</v>
      </c>
      <c r="C51" s="5">
        <v>1929</v>
      </c>
      <c r="D51" s="5">
        <v>1936</v>
      </c>
      <c r="E51" s="5"/>
      <c r="F51" s="5"/>
      <c r="G51" s="5">
        <v>14</v>
      </c>
      <c r="H51" s="5"/>
      <c r="I51" s="6">
        <f t="shared" si="0"/>
        <v>14</v>
      </c>
      <c r="J51" s="7" t="s">
        <v>421</v>
      </c>
      <c r="K51" s="14" t="s">
        <v>422</v>
      </c>
      <c r="L51" s="14" t="s">
        <v>600</v>
      </c>
      <c r="M51" s="10">
        <v>0</v>
      </c>
      <c r="N51" s="5"/>
      <c r="O51" s="10"/>
    </row>
    <row r="52" spans="1:15" s="49" customFormat="1" ht="95.55" customHeight="1" x14ac:dyDescent="0.3">
      <c r="A52" s="43" t="s">
        <v>60</v>
      </c>
      <c r="B52" s="44" t="s">
        <v>336</v>
      </c>
      <c r="C52" s="45">
        <v>1943</v>
      </c>
      <c r="D52" s="45">
        <v>1949</v>
      </c>
      <c r="E52" s="45"/>
      <c r="F52" s="45"/>
      <c r="G52" s="45">
        <v>67</v>
      </c>
      <c r="H52" s="45">
        <v>24</v>
      </c>
      <c r="I52" s="46">
        <f t="shared" si="0"/>
        <v>91</v>
      </c>
      <c r="J52" s="47" t="s">
        <v>380</v>
      </c>
      <c r="K52" s="48" t="s">
        <v>381</v>
      </c>
      <c r="L52" s="48" t="s">
        <v>600</v>
      </c>
      <c r="M52" s="44">
        <v>22</v>
      </c>
      <c r="N52" s="45"/>
      <c r="O52" s="44"/>
    </row>
    <row r="53" spans="1:15" s="41" customFormat="1" ht="100.8" x14ac:dyDescent="0.3">
      <c r="A53" s="34" t="s">
        <v>62</v>
      </c>
      <c r="B53" s="35" t="s">
        <v>41</v>
      </c>
      <c r="C53" s="36">
        <v>1941</v>
      </c>
      <c r="D53" s="36">
        <v>1942</v>
      </c>
      <c r="E53" s="36"/>
      <c r="F53" s="36"/>
      <c r="G53" s="36">
        <v>24</v>
      </c>
      <c r="H53" s="36"/>
      <c r="I53" s="42">
        <f t="shared" si="0"/>
        <v>24</v>
      </c>
      <c r="J53" s="39" t="s">
        <v>61</v>
      </c>
      <c r="K53" s="40" t="s">
        <v>431</v>
      </c>
      <c r="L53" s="40" t="s">
        <v>600</v>
      </c>
      <c r="M53" s="35">
        <v>3</v>
      </c>
      <c r="N53" s="36"/>
      <c r="O53" s="35"/>
    </row>
    <row r="54" spans="1:15" s="41" customFormat="1" ht="84.45" customHeight="1" x14ac:dyDescent="0.3">
      <c r="A54" s="34" t="s">
        <v>63</v>
      </c>
      <c r="B54" s="35" t="s">
        <v>41</v>
      </c>
      <c r="C54" s="36">
        <v>1941</v>
      </c>
      <c r="D54" s="36">
        <v>1942</v>
      </c>
      <c r="E54" s="36"/>
      <c r="F54" s="36"/>
      <c r="G54" s="36">
        <v>36</v>
      </c>
      <c r="H54" s="36"/>
      <c r="I54" s="42">
        <f t="shared" si="0"/>
        <v>36</v>
      </c>
      <c r="J54" s="39" t="s">
        <v>425</v>
      </c>
      <c r="K54" s="40" t="s">
        <v>426</v>
      </c>
      <c r="L54" s="40" t="s">
        <v>600</v>
      </c>
      <c r="M54" s="35">
        <v>1</v>
      </c>
      <c r="N54" s="36"/>
      <c r="O54" s="35"/>
    </row>
    <row r="55" spans="1:15" ht="26.55" customHeight="1" x14ac:dyDescent="0.3">
      <c r="A55" s="31" t="s">
        <v>579</v>
      </c>
      <c r="B55" s="10" t="s">
        <v>41</v>
      </c>
      <c r="C55" s="5">
        <v>1914</v>
      </c>
      <c r="D55" s="5">
        <v>1915</v>
      </c>
      <c r="E55" s="5"/>
      <c r="F55" s="5"/>
      <c r="G55" s="5">
        <v>2</v>
      </c>
      <c r="H55" s="5"/>
      <c r="I55" s="6">
        <f t="shared" si="0"/>
        <v>2</v>
      </c>
      <c r="J55" s="7" t="s">
        <v>580</v>
      </c>
      <c r="K55" s="11" t="s">
        <v>413</v>
      </c>
      <c r="L55" s="14" t="s">
        <v>600</v>
      </c>
      <c r="M55" s="10">
        <v>0</v>
      </c>
      <c r="N55" s="5"/>
      <c r="O55" s="10"/>
    </row>
    <row r="56" spans="1:15" ht="25.95" customHeight="1" x14ac:dyDescent="0.3">
      <c r="A56" s="10" t="s">
        <v>64</v>
      </c>
      <c r="B56" s="10" t="s">
        <v>20</v>
      </c>
      <c r="C56" s="5">
        <v>1956</v>
      </c>
      <c r="D56" s="5">
        <v>1974</v>
      </c>
      <c r="E56" s="5">
        <v>9</v>
      </c>
      <c r="F56" s="5"/>
      <c r="G56" s="5"/>
      <c r="H56" s="5"/>
      <c r="I56" s="6">
        <f t="shared" si="0"/>
        <v>9</v>
      </c>
      <c r="J56" s="7" t="s">
        <v>68</v>
      </c>
      <c r="K56" s="11" t="s">
        <v>413</v>
      </c>
      <c r="L56" s="14" t="s">
        <v>600</v>
      </c>
      <c r="M56" s="10">
        <v>0</v>
      </c>
      <c r="N56" s="5"/>
      <c r="O56" s="10"/>
    </row>
    <row r="57" spans="1:15" ht="28.8" x14ac:dyDescent="0.3">
      <c r="A57" s="10" t="s">
        <v>298</v>
      </c>
      <c r="B57" s="10" t="s">
        <v>296</v>
      </c>
      <c r="C57" s="5">
        <v>2007</v>
      </c>
      <c r="D57" s="8" t="s">
        <v>21</v>
      </c>
      <c r="E57" s="5"/>
      <c r="F57" s="5"/>
      <c r="G57" s="5"/>
      <c r="H57" s="5">
        <v>4</v>
      </c>
      <c r="I57" s="6">
        <f t="shared" si="0"/>
        <v>4</v>
      </c>
      <c r="J57" s="7" t="s">
        <v>299</v>
      </c>
      <c r="K57" s="14" t="s">
        <v>413</v>
      </c>
      <c r="L57" s="14" t="s">
        <v>600</v>
      </c>
      <c r="M57" s="10">
        <v>0</v>
      </c>
      <c r="N57" s="5"/>
      <c r="O57" s="10"/>
    </row>
    <row r="58" spans="1:15" ht="28.8" x14ac:dyDescent="0.3">
      <c r="A58" s="31" t="s">
        <v>69</v>
      </c>
      <c r="B58" s="10" t="s">
        <v>337</v>
      </c>
      <c r="C58" s="5">
        <v>1946</v>
      </c>
      <c r="D58" s="5">
        <v>1966</v>
      </c>
      <c r="E58" s="5">
        <v>56</v>
      </c>
      <c r="F58" s="5">
        <v>3</v>
      </c>
      <c r="G58" s="5"/>
      <c r="H58" s="5">
        <v>30</v>
      </c>
      <c r="I58" s="6">
        <f t="shared" si="0"/>
        <v>89</v>
      </c>
      <c r="J58" s="7" t="s">
        <v>357</v>
      </c>
      <c r="K58" s="14" t="s">
        <v>427</v>
      </c>
      <c r="L58" s="14" t="s">
        <v>600</v>
      </c>
      <c r="M58" s="10">
        <v>0</v>
      </c>
      <c r="N58" s="5"/>
      <c r="O58" s="10"/>
    </row>
    <row r="59" spans="1:15" ht="28.8" x14ac:dyDescent="0.3">
      <c r="A59" s="10" t="s">
        <v>71</v>
      </c>
      <c r="B59" s="10" t="s">
        <v>18</v>
      </c>
      <c r="C59" s="5">
        <v>1943</v>
      </c>
      <c r="D59" s="5">
        <v>1956</v>
      </c>
      <c r="E59" s="5">
        <v>7</v>
      </c>
      <c r="F59" s="5"/>
      <c r="G59" s="5"/>
      <c r="H59" s="5"/>
      <c r="I59" s="6">
        <f t="shared" si="0"/>
        <v>7</v>
      </c>
      <c r="J59" s="7" t="s">
        <v>428</v>
      </c>
      <c r="K59" s="14" t="s">
        <v>429</v>
      </c>
      <c r="L59" s="14" t="s">
        <v>600</v>
      </c>
      <c r="M59" s="10">
        <v>0</v>
      </c>
      <c r="N59" s="5"/>
      <c r="O59" s="10"/>
    </row>
    <row r="60" spans="1:15" x14ac:dyDescent="0.3">
      <c r="A60" s="10" t="s">
        <v>72</v>
      </c>
      <c r="B60" s="10" t="s">
        <v>6</v>
      </c>
      <c r="C60" s="5">
        <v>1917</v>
      </c>
      <c r="D60" s="5">
        <v>1919</v>
      </c>
      <c r="E60" s="5">
        <v>8</v>
      </c>
      <c r="F60" s="5"/>
      <c r="G60" s="5"/>
      <c r="H60" s="5"/>
      <c r="I60" s="6">
        <f t="shared" si="0"/>
        <v>8</v>
      </c>
      <c r="J60" s="7" t="s">
        <v>73</v>
      </c>
      <c r="K60" s="14" t="s">
        <v>413</v>
      </c>
      <c r="L60" s="14" t="s">
        <v>600</v>
      </c>
      <c r="M60" s="10">
        <v>0</v>
      </c>
      <c r="N60" s="5"/>
      <c r="O60" s="10"/>
    </row>
    <row r="61" spans="1:15" s="49" customFormat="1" ht="28.8" x14ac:dyDescent="0.3">
      <c r="A61" s="44" t="s">
        <v>74</v>
      </c>
      <c r="B61" s="44" t="s">
        <v>8</v>
      </c>
      <c r="C61" s="45">
        <v>1937</v>
      </c>
      <c r="D61" s="45">
        <v>1943</v>
      </c>
      <c r="E61" s="45"/>
      <c r="F61" s="45">
        <v>37</v>
      </c>
      <c r="G61" s="45"/>
      <c r="H61" s="45"/>
      <c r="I61" s="46">
        <f t="shared" si="0"/>
        <v>37</v>
      </c>
      <c r="J61" s="47" t="s">
        <v>75</v>
      </c>
      <c r="K61" s="48"/>
      <c r="L61" s="48" t="s">
        <v>603</v>
      </c>
      <c r="M61" s="44">
        <v>25</v>
      </c>
      <c r="N61" s="45"/>
      <c r="O61" s="44"/>
    </row>
    <row r="62" spans="1:15" x14ac:dyDescent="0.3">
      <c r="A62" s="10" t="s">
        <v>295</v>
      </c>
      <c r="B62" s="10" t="s">
        <v>296</v>
      </c>
      <c r="C62" s="5">
        <v>1992</v>
      </c>
      <c r="D62" s="5">
        <v>2022</v>
      </c>
      <c r="E62" s="5"/>
      <c r="F62" s="5"/>
      <c r="G62" s="5"/>
      <c r="H62" s="5">
        <v>3</v>
      </c>
      <c r="I62" s="6">
        <f t="shared" si="0"/>
        <v>3</v>
      </c>
      <c r="J62" s="7" t="s">
        <v>297</v>
      </c>
      <c r="K62" s="14" t="s">
        <v>413</v>
      </c>
      <c r="L62" s="14" t="s">
        <v>600</v>
      </c>
      <c r="M62" s="10">
        <v>0</v>
      </c>
      <c r="N62" s="5"/>
      <c r="O62" s="10"/>
    </row>
    <row r="63" spans="1:15" s="41" customFormat="1" ht="86.4" x14ac:dyDescent="0.3">
      <c r="A63" s="35" t="s">
        <v>76</v>
      </c>
      <c r="B63" s="35" t="s">
        <v>8</v>
      </c>
      <c r="C63" s="36">
        <v>1926</v>
      </c>
      <c r="D63" s="36">
        <v>1940</v>
      </c>
      <c r="E63" s="36"/>
      <c r="F63" s="36">
        <v>46</v>
      </c>
      <c r="G63" s="36"/>
      <c r="H63" s="36"/>
      <c r="I63" s="42">
        <f t="shared" si="0"/>
        <v>46</v>
      </c>
      <c r="J63" s="39" t="s">
        <v>77</v>
      </c>
      <c r="K63" s="40" t="s">
        <v>430</v>
      </c>
      <c r="L63" s="40" t="s">
        <v>603</v>
      </c>
      <c r="M63" s="35">
        <v>4</v>
      </c>
      <c r="N63" s="36"/>
      <c r="O63" s="35"/>
    </row>
    <row r="64" spans="1:15" x14ac:dyDescent="0.3">
      <c r="A64" s="10" t="s">
        <v>78</v>
      </c>
      <c r="B64" s="10" t="s">
        <v>338</v>
      </c>
      <c r="C64" s="5">
        <v>1946</v>
      </c>
      <c r="D64" s="5">
        <v>1947</v>
      </c>
      <c r="E64" s="5"/>
      <c r="F64" s="5"/>
      <c r="G64" s="5"/>
      <c r="H64" s="5">
        <v>22</v>
      </c>
      <c r="I64" s="6">
        <f t="shared" si="0"/>
        <v>22</v>
      </c>
      <c r="J64" s="7" t="s">
        <v>79</v>
      </c>
      <c r="K64" s="14" t="s">
        <v>413</v>
      </c>
      <c r="L64" s="14" t="s">
        <v>600</v>
      </c>
      <c r="M64" s="10">
        <v>0</v>
      </c>
      <c r="N64" s="5"/>
      <c r="O64" s="10"/>
    </row>
    <row r="65" spans="1:15" ht="57.6" x14ac:dyDescent="0.3">
      <c r="A65" s="10" t="s">
        <v>80</v>
      </c>
      <c r="B65" s="10" t="s">
        <v>81</v>
      </c>
      <c r="C65" s="5">
        <v>1942</v>
      </c>
      <c r="D65" s="5">
        <v>1942</v>
      </c>
      <c r="E65" s="5"/>
      <c r="F65" s="5">
        <v>6</v>
      </c>
      <c r="G65" s="5">
        <v>6</v>
      </c>
      <c r="H65" s="5"/>
      <c r="I65" s="6">
        <f t="shared" si="0"/>
        <v>12</v>
      </c>
      <c r="J65" s="7" t="s">
        <v>432</v>
      </c>
      <c r="K65" s="14" t="s">
        <v>433</v>
      </c>
      <c r="L65" s="14" t="s">
        <v>600</v>
      </c>
      <c r="M65" s="10">
        <v>0</v>
      </c>
      <c r="N65" s="5"/>
      <c r="O65" s="10"/>
    </row>
    <row r="66" spans="1:15" ht="28.8" x14ac:dyDescent="0.3">
      <c r="A66" s="10" t="s">
        <v>82</v>
      </c>
      <c r="B66" s="10" t="s">
        <v>105</v>
      </c>
      <c r="C66" s="5">
        <v>1939</v>
      </c>
      <c r="D66" s="5">
        <v>1940</v>
      </c>
      <c r="E66" s="5">
        <v>18</v>
      </c>
      <c r="F66" s="5"/>
      <c r="G66" s="5"/>
      <c r="H66" s="5"/>
      <c r="I66" s="6">
        <f t="shared" si="0"/>
        <v>18</v>
      </c>
      <c r="J66" s="7" t="s">
        <v>434</v>
      </c>
      <c r="K66" s="14" t="s">
        <v>435</v>
      </c>
      <c r="L66" s="14" t="s">
        <v>600</v>
      </c>
      <c r="M66" s="10">
        <v>0</v>
      </c>
      <c r="N66" s="5"/>
      <c r="O66" s="10"/>
    </row>
    <row r="67" spans="1:15" x14ac:dyDescent="0.3">
      <c r="A67" s="10" t="s">
        <v>83</v>
      </c>
      <c r="B67" s="10" t="s">
        <v>19</v>
      </c>
      <c r="C67" s="5">
        <v>1945</v>
      </c>
      <c r="D67" s="5">
        <v>1945</v>
      </c>
      <c r="E67" s="5">
        <v>1</v>
      </c>
      <c r="F67" s="5"/>
      <c r="G67" s="5"/>
      <c r="H67" s="5"/>
      <c r="I67" s="6">
        <f t="shared" si="0"/>
        <v>1</v>
      </c>
      <c r="J67" s="7" t="s">
        <v>84</v>
      </c>
      <c r="K67" s="14" t="s">
        <v>372</v>
      </c>
      <c r="L67" s="14" t="s">
        <v>600</v>
      </c>
      <c r="M67" s="10">
        <v>0</v>
      </c>
      <c r="N67" s="5"/>
      <c r="O67" s="10"/>
    </row>
    <row r="68" spans="1:15" s="49" customFormat="1" ht="57.6" x14ac:dyDescent="0.3">
      <c r="A68" s="44" t="s">
        <v>85</v>
      </c>
      <c r="B68" s="44" t="s">
        <v>348</v>
      </c>
      <c r="C68" s="45">
        <v>1944</v>
      </c>
      <c r="D68" s="45">
        <v>1962</v>
      </c>
      <c r="E68" s="45">
        <v>41</v>
      </c>
      <c r="F68" s="45">
        <v>16</v>
      </c>
      <c r="G68" s="45">
        <v>48</v>
      </c>
      <c r="H68" s="45">
        <v>12</v>
      </c>
      <c r="I68" s="46">
        <f t="shared" si="0"/>
        <v>117</v>
      </c>
      <c r="J68" s="47" t="s">
        <v>349</v>
      </c>
      <c r="K68" s="48" t="s">
        <v>597</v>
      </c>
      <c r="L68" s="48" t="s">
        <v>600</v>
      </c>
      <c r="M68" s="44">
        <v>4</v>
      </c>
      <c r="N68" s="45"/>
      <c r="O68" s="44"/>
    </row>
    <row r="69" spans="1:15" ht="28.8" x14ac:dyDescent="0.3">
      <c r="A69" s="10" t="s">
        <v>332</v>
      </c>
      <c r="B69" s="10" t="s">
        <v>333</v>
      </c>
      <c r="C69" s="5">
        <v>1940</v>
      </c>
      <c r="D69" s="5">
        <v>1942</v>
      </c>
      <c r="E69" s="5"/>
      <c r="F69" s="5"/>
      <c r="G69" s="5"/>
      <c r="H69" s="5">
        <v>4</v>
      </c>
      <c r="I69" s="6">
        <f t="shared" ref="I69:I135" si="1">SUM(E69:H69)</f>
        <v>4</v>
      </c>
      <c r="J69" s="7" t="s">
        <v>436</v>
      </c>
      <c r="K69" s="14" t="s">
        <v>413</v>
      </c>
      <c r="L69" s="14" t="s">
        <v>600</v>
      </c>
      <c r="M69" s="10">
        <v>0</v>
      </c>
      <c r="N69" s="5"/>
      <c r="O69" s="10"/>
    </row>
    <row r="70" spans="1:15" ht="28.8" x14ac:dyDescent="0.3">
      <c r="A70" s="10" t="s">
        <v>86</v>
      </c>
      <c r="B70" s="10" t="s">
        <v>87</v>
      </c>
      <c r="C70" s="5">
        <v>1996</v>
      </c>
      <c r="D70" s="8" t="s">
        <v>21</v>
      </c>
      <c r="E70" s="5">
        <v>17</v>
      </c>
      <c r="F70" s="5"/>
      <c r="G70" s="5"/>
      <c r="H70" s="5"/>
      <c r="I70" s="6">
        <f t="shared" si="1"/>
        <v>17</v>
      </c>
      <c r="J70" s="7" t="s">
        <v>339</v>
      </c>
      <c r="K70" s="14" t="s">
        <v>413</v>
      </c>
      <c r="L70" s="11" t="s">
        <v>601</v>
      </c>
      <c r="M70" s="10">
        <v>0</v>
      </c>
      <c r="N70" s="5"/>
      <c r="O70" s="10"/>
    </row>
    <row r="71" spans="1:15" ht="28.8" x14ac:dyDescent="0.3">
      <c r="A71" s="10" t="s">
        <v>302</v>
      </c>
      <c r="B71" s="10" t="s">
        <v>296</v>
      </c>
      <c r="C71" s="5">
        <v>2015</v>
      </c>
      <c r="D71" s="8">
        <v>2022</v>
      </c>
      <c r="E71" s="5"/>
      <c r="F71" s="5"/>
      <c r="G71" s="5"/>
      <c r="H71" s="5">
        <v>3</v>
      </c>
      <c r="I71" s="6">
        <f t="shared" si="1"/>
        <v>3</v>
      </c>
      <c r="J71" s="7" t="s">
        <v>303</v>
      </c>
      <c r="K71" s="14" t="s">
        <v>413</v>
      </c>
      <c r="L71" s="11" t="s">
        <v>601</v>
      </c>
      <c r="M71" s="10">
        <v>0</v>
      </c>
      <c r="N71" s="5"/>
      <c r="O71" s="10"/>
    </row>
    <row r="72" spans="1:15" ht="28.8" x14ac:dyDescent="0.3">
      <c r="A72" s="10" t="s">
        <v>317</v>
      </c>
      <c r="B72" s="10" t="s">
        <v>486</v>
      </c>
      <c r="C72" s="5">
        <v>1995</v>
      </c>
      <c r="D72" s="8">
        <v>2002</v>
      </c>
      <c r="E72" s="5"/>
      <c r="F72" s="5"/>
      <c r="G72" s="5"/>
      <c r="H72" s="5">
        <v>2</v>
      </c>
      <c r="I72" s="6">
        <f t="shared" si="1"/>
        <v>2</v>
      </c>
      <c r="J72" s="7" t="s">
        <v>318</v>
      </c>
      <c r="K72" s="14" t="s">
        <v>413</v>
      </c>
      <c r="L72" s="11" t="s">
        <v>601</v>
      </c>
      <c r="M72" s="10">
        <v>0</v>
      </c>
      <c r="N72" s="5"/>
      <c r="O72" s="10"/>
    </row>
    <row r="73" spans="1:15" x14ac:dyDescent="0.3">
      <c r="A73" s="10" t="s">
        <v>320</v>
      </c>
      <c r="B73" s="10" t="s">
        <v>486</v>
      </c>
      <c r="C73" s="5">
        <v>2009</v>
      </c>
      <c r="D73" s="8" t="s">
        <v>21</v>
      </c>
      <c r="E73" s="5"/>
      <c r="F73" s="5"/>
      <c r="G73" s="5"/>
      <c r="H73" s="5">
        <v>12</v>
      </c>
      <c r="I73" s="6">
        <f t="shared" si="1"/>
        <v>12</v>
      </c>
      <c r="J73" s="7" t="s">
        <v>328</v>
      </c>
      <c r="K73" s="14" t="s">
        <v>413</v>
      </c>
      <c r="L73" s="11" t="s">
        <v>601</v>
      </c>
      <c r="M73" s="10">
        <v>0</v>
      </c>
      <c r="N73" s="5"/>
      <c r="O73" s="10"/>
    </row>
    <row r="74" spans="1:15" x14ac:dyDescent="0.3">
      <c r="A74" s="10" t="s">
        <v>592</v>
      </c>
      <c r="B74" s="10" t="s">
        <v>41</v>
      </c>
      <c r="C74" s="5">
        <v>1941</v>
      </c>
      <c r="D74" s="8">
        <v>1942</v>
      </c>
      <c r="E74" s="5"/>
      <c r="F74" s="5"/>
      <c r="G74" s="5">
        <v>1</v>
      </c>
      <c r="H74" s="5"/>
      <c r="I74" s="6">
        <f t="shared" si="1"/>
        <v>1</v>
      </c>
      <c r="J74" s="7" t="s">
        <v>593</v>
      </c>
      <c r="K74" s="14" t="s">
        <v>372</v>
      </c>
      <c r="L74" s="14" t="s">
        <v>600</v>
      </c>
      <c r="M74" s="10">
        <v>0</v>
      </c>
      <c r="N74" s="5"/>
      <c r="O74" s="10"/>
    </row>
    <row r="75" spans="1:15" ht="22.5" customHeight="1" x14ac:dyDescent="0.3">
      <c r="A75" s="10" t="s">
        <v>88</v>
      </c>
      <c r="B75" s="10" t="s">
        <v>8</v>
      </c>
      <c r="C75" s="5">
        <v>1945</v>
      </c>
      <c r="D75" s="5">
        <v>1946</v>
      </c>
      <c r="E75" s="5"/>
      <c r="F75" s="5">
        <v>21</v>
      </c>
      <c r="G75" s="5"/>
      <c r="H75" s="5"/>
      <c r="I75" s="6">
        <f t="shared" si="1"/>
        <v>21</v>
      </c>
      <c r="J75" s="7" t="s">
        <v>89</v>
      </c>
      <c r="K75" s="14" t="s">
        <v>413</v>
      </c>
      <c r="L75" s="14" t="s">
        <v>600</v>
      </c>
      <c r="M75" s="10">
        <v>0</v>
      </c>
      <c r="N75" s="5"/>
      <c r="O75" s="10"/>
    </row>
    <row r="76" spans="1:15" s="41" customFormat="1" ht="40.950000000000003" customHeight="1" x14ac:dyDescent="0.3">
      <c r="A76" s="35" t="s">
        <v>90</v>
      </c>
      <c r="B76" s="35" t="s">
        <v>8</v>
      </c>
      <c r="C76" s="36">
        <v>1946</v>
      </c>
      <c r="D76" s="36">
        <v>1961</v>
      </c>
      <c r="E76" s="36"/>
      <c r="F76" s="36">
        <v>94</v>
      </c>
      <c r="G76" s="36"/>
      <c r="H76" s="36"/>
      <c r="I76" s="42">
        <f t="shared" si="1"/>
        <v>94</v>
      </c>
      <c r="J76" s="39" t="s">
        <v>91</v>
      </c>
      <c r="K76" s="40" t="s">
        <v>437</v>
      </c>
      <c r="L76" s="40" t="s">
        <v>600</v>
      </c>
      <c r="M76" s="35">
        <v>8</v>
      </c>
      <c r="N76" s="36"/>
      <c r="O76" s="35"/>
    </row>
    <row r="77" spans="1:15" ht="19.95" customHeight="1" x14ac:dyDescent="0.3">
      <c r="A77" s="10" t="s">
        <v>92</v>
      </c>
      <c r="B77" s="10" t="s">
        <v>8</v>
      </c>
      <c r="C77" s="5">
        <v>1925</v>
      </c>
      <c r="D77" s="5">
        <v>1930</v>
      </c>
      <c r="E77" s="5"/>
      <c r="F77" s="5">
        <v>4</v>
      </c>
      <c r="G77" s="5"/>
      <c r="H77" s="5"/>
      <c r="I77" s="6">
        <f t="shared" si="1"/>
        <v>4</v>
      </c>
      <c r="J77" s="7" t="s">
        <v>93</v>
      </c>
      <c r="K77" s="14" t="s">
        <v>413</v>
      </c>
      <c r="L77" s="14" t="s">
        <v>600</v>
      </c>
      <c r="M77" s="10">
        <v>0</v>
      </c>
      <c r="N77" s="5"/>
      <c r="O77" s="10"/>
    </row>
    <row r="78" spans="1:15" s="41" customFormat="1" ht="57.6" x14ac:dyDescent="0.3">
      <c r="A78" s="35" t="s">
        <v>94</v>
      </c>
      <c r="B78" s="35" t="s">
        <v>8</v>
      </c>
      <c r="C78" s="36">
        <v>1943</v>
      </c>
      <c r="D78" s="36">
        <v>1945</v>
      </c>
      <c r="E78" s="36"/>
      <c r="F78" s="36">
        <v>37</v>
      </c>
      <c r="G78" s="36"/>
      <c r="H78" s="36"/>
      <c r="I78" s="42">
        <f t="shared" si="1"/>
        <v>37</v>
      </c>
      <c r="J78" s="39" t="s">
        <v>386</v>
      </c>
      <c r="K78" s="40" t="s">
        <v>385</v>
      </c>
      <c r="L78" s="40" t="s">
        <v>600</v>
      </c>
      <c r="M78" s="35">
        <v>4</v>
      </c>
      <c r="N78" s="36"/>
      <c r="O78" s="35"/>
    </row>
    <row r="79" spans="1:15" ht="28.8" x14ac:dyDescent="0.3">
      <c r="A79" s="10" t="s">
        <v>95</v>
      </c>
      <c r="B79" s="10" t="s">
        <v>96</v>
      </c>
      <c r="C79" s="5">
        <v>1913</v>
      </c>
      <c r="D79" s="5">
        <v>1922</v>
      </c>
      <c r="E79" s="5">
        <v>20</v>
      </c>
      <c r="F79" s="5">
        <v>7</v>
      </c>
      <c r="G79" s="5">
        <v>4</v>
      </c>
      <c r="H79" s="5"/>
      <c r="I79" s="6">
        <f t="shared" si="1"/>
        <v>31</v>
      </c>
      <c r="J79" s="7" t="s">
        <v>97</v>
      </c>
      <c r="K79" s="14" t="s">
        <v>438</v>
      </c>
      <c r="L79" s="14" t="s">
        <v>600</v>
      </c>
      <c r="M79" s="10">
        <v>0</v>
      </c>
      <c r="N79" s="5"/>
      <c r="O79" s="10"/>
    </row>
    <row r="80" spans="1:15" x14ac:dyDescent="0.3">
      <c r="A80" s="10" t="s">
        <v>98</v>
      </c>
      <c r="B80" s="10" t="s">
        <v>6</v>
      </c>
      <c r="C80" s="5">
        <v>1916</v>
      </c>
      <c r="D80" s="5">
        <v>1920</v>
      </c>
      <c r="E80" s="5">
        <v>1</v>
      </c>
      <c r="F80" s="5"/>
      <c r="G80" s="5"/>
      <c r="H80" s="5"/>
      <c r="I80" s="6">
        <f t="shared" si="1"/>
        <v>1</v>
      </c>
      <c r="J80" s="7" t="s">
        <v>99</v>
      </c>
      <c r="K80" s="14" t="s">
        <v>372</v>
      </c>
      <c r="L80" s="14" t="s">
        <v>600</v>
      </c>
      <c r="M80" s="10">
        <v>0</v>
      </c>
      <c r="N80" s="5"/>
      <c r="O80" s="10"/>
    </row>
    <row r="81" spans="1:15" x14ac:dyDescent="0.3">
      <c r="A81" s="10" t="s">
        <v>100</v>
      </c>
      <c r="B81" s="10" t="s">
        <v>8</v>
      </c>
      <c r="C81" s="5">
        <v>1916</v>
      </c>
      <c r="D81" s="5">
        <v>1918</v>
      </c>
      <c r="E81" s="5"/>
      <c r="F81" s="5">
        <v>2</v>
      </c>
      <c r="G81" s="5"/>
      <c r="H81" s="5"/>
      <c r="I81" s="6">
        <f t="shared" si="1"/>
        <v>2</v>
      </c>
      <c r="J81" s="7" t="s">
        <v>101</v>
      </c>
      <c r="K81" s="14" t="s">
        <v>372</v>
      </c>
      <c r="L81" s="14" t="s">
        <v>603</v>
      </c>
      <c r="M81" s="10">
        <v>0</v>
      </c>
      <c r="N81" s="5"/>
      <c r="O81" s="10"/>
    </row>
    <row r="82" spans="1:15" x14ac:dyDescent="0.3">
      <c r="A82" s="10" t="s">
        <v>102</v>
      </c>
      <c r="B82" s="10" t="s">
        <v>87</v>
      </c>
      <c r="C82" s="5">
        <v>1945</v>
      </c>
      <c r="D82" s="5">
        <v>1946</v>
      </c>
      <c r="E82" s="5">
        <v>1</v>
      </c>
      <c r="F82" s="5"/>
      <c r="G82" s="5"/>
      <c r="H82" s="5"/>
      <c r="I82" s="6">
        <f t="shared" si="1"/>
        <v>1</v>
      </c>
      <c r="J82" s="7" t="s">
        <v>103</v>
      </c>
      <c r="K82" s="14" t="s">
        <v>372</v>
      </c>
      <c r="L82" s="14" t="s">
        <v>600</v>
      </c>
      <c r="M82" s="10">
        <v>0</v>
      </c>
      <c r="N82" s="5"/>
      <c r="O82" s="10"/>
    </row>
    <row r="83" spans="1:15" x14ac:dyDescent="0.3">
      <c r="A83" s="10" t="s">
        <v>104</v>
      </c>
      <c r="B83" s="10" t="s">
        <v>105</v>
      </c>
      <c r="C83" s="5">
        <v>1938</v>
      </c>
      <c r="D83" s="5">
        <v>1940</v>
      </c>
      <c r="E83" s="5">
        <v>5</v>
      </c>
      <c r="F83" s="5"/>
      <c r="G83" s="5"/>
      <c r="H83" s="5"/>
      <c r="I83" s="6">
        <f t="shared" si="1"/>
        <v>5</v>
      </c>
      <c r="J83" s="7" t="s">
        <v>106</v>
      </c>
      <c r="K83" s="14" t="s">
        <v>439</v>
      </c>
      <c r="L83" s="14" t="s">
        <v>600</v>
      </c>
      <c r="M83" s="10">
        <v>0</v>
      </c>
      <c r="N83" s="5"/>
      <c r="O83" s="10"/>
    </row>
    <row r="84" spans="1:15" x14ac:dyDescent="0.3">
      <c r="A84" s="10" t="s">
        <v>107</v>
      </c>
      <c r="B84" s="10" t="s">
        <v>87</v>
      </c>
      <c r="C84" s="5">
        <v>1996</v>
      </c>
      <c r="D84" s="5">
        <v>2010</v>
      </c>
      <c r="E84" s="5">
        <v>2</v>
      </c>
      <c r="F84" s="5"/>
      <c r="G84" s="5"/>
      <c r="H84" s="5"/>
      <c r="I84" s="6">
        <f t="shared" si="1"/>
        <v>2</v>
      </c>
      <c r="J84" s="7" t="s">
        <v>11</v>
      </c>
      <c r="K84" s="14" t="s">
        <v>413</v>
      </c>
      <c r="L84" s="14" t="s">
        <v>600</v>
      </c>
      <c r="M84" s="10">
        <v>0</v>
      </c>
      <c r="N84" s="5"/>
      <c r="O84" s="10"/>
    </row>
    <row r="85" spans="1:15" x14ac:dyDescent="0.3">
      <c r="A85" s="10" t="s">
        <v>108</v>
      </c>
      <c r="B85" s="10" t="s">
        <v>87</v>
      </c>
      <c r="C85" s="5">
        <v>1996</v>
      </c>
      <c r="D85" s="5">
        <v>2007</v>
      </c>
      <c r="E85" s="5">
        <v>4</v>
      </c>
      <c r="F85" s="5"/>
      <c r="G85" s="5"/>
      <c r="H85" s="5"/>
      <c r="I85" s="6">
        <f t="shared" si="1"/>
        <v>4</v>
      </c>
      <c r="J85" s="7" t="s">
        <v>11</v>
      </c>
      <c r="K85" s="14" t="s">
        <v>413</v>
      </c>
      <c r="L85" s="14" t="s">
        <v>600</v>
      </c>
      <c r="M85" s="10">
        <v>0</v>
      </c>
      <c r="N85" s="5"/>
      <c r="O85" s="10"/>
    </row>
    <row r="86" spans="1:15" ht="28.8" x14ac:dyDescent="0.3">
      <c r="A86" s="10" t="s">
        <v>306</v>
      </c>
      <c r="B86" s="10" t="s">
        <v>305</v>
      </c>
      <c r="C86" s="5">
        <v>1996</v>
      </c>
      <c r="D86" s="5">
        <v>2017</v>
      </c>
      <c r="E86" s="5"/>
      <c r="F86" s="5"/>
      <c r="G86" s="5"/>
      <c r="H86" s="5">
        <v>1</v>
      </c>
      <c r="I86" s="6">
        <f t="shared" si="1"/>
        <v>1</v>
      </c>
      <c r="J86" s="7" t="s">
        <v>307</v>
      </c>
      <c r="K86" s="14" t="s">
        <v>372</v>
      </c>
      <c r="L86" s="14" t="s">
        <v>600</v>
      </c>
      <c r="M86" s="10">
        <v>0</v>
      </c>
      <c r="N86" s="5"/>
      <c r="O86" s="10"/>
    </row>
    <row r="87" spans="1:15" x14ac:dyDescent="0.3">
      <c r="A87" s="10" t="s">
        <v>109</v>
      </c>
      <c r="B87" s="10" t="s">
        <v>6</v>
      </c>
      <c r="C87" s="5">
        <v>1916</v>
      </c>
      <c r="D87" s="5">
        <v>1917</v>
      </c>
      <c r="E87" s="5">
        <v>1</v>
      </c>
      <c r="F87" s="5"/>
      <c r="G87" s="5"/>
      <c r="H87" s="5"/>
      <c r="I87" s="6">
        <f t="shared" si="1"/>
        <v>1</v>
      </c>
      <c r="J87" s="7" t="s">
        <v>110</v>
      </c>
      <c r="K87" s="14" t="s">
        <v>372</v>
      </c>
      <c r="L87" s="14" t="s">
        <v>600</v>
      </c>
      <c r="M87" s="10">
        <v>0</v>
      </c>
      <c r="N87" s="5"/>
      <c r="O87" s="10"/>
    </row>
    <row r="88" spans="1:15" x14ac:dyDescent="0.3">
      <c r="A88" s="10" t="s">
        <v>111</v>
      </c>
      <c r="B88" s="10" t="s">
        <v>8</v>
      </c>
      <c r="C88" s="5">
        <v>1923</v>
      </c>
      <c r="D88" s="5">
        <v>1929</v>
      </c>
      <c r="E88" s="5"/>
      <c r="F88" s="5">
        <v>1</v>
      </c>
      <c r="G88" s="5"/>
      <c r="H88" s="5"/>
      <c r="I88" s="6">
        <f t="shared" si="1"/>
        <v>1</v>
      </c>
      <c r="J88" s="7" t="s">
        <v>173</v>
      </c>
      <c r="K88" s="14" t="s">
        <v>440</v>
      </c>
      <c r="L88" s="14" t="s">
        <v>603</v>
      </c>
      <c r="M88" s="10">
        <v>0</v>
      </c>
      <c r="N88" s="5"/>
      <c r="O88" s="10"/>
    </row>
    <row r="89" spans="1:15" s="62" customFormat="1" ht="43.2" x14ac:dyDescent="0.3">
      <c r="A89" s="55" t="s">
        <v>112</v>
      </c>
      <c r="B89" s="55" t="s">
        <v>113</v>
      </c>
      <c r="C89" s="56">
        <v>1919</v>
      </c>
      <c r="D89" s="56">
        <v>1938</v>
      </c>
      <c r="E89" s="56">
        <v>66</v>
      </c>
      <c r="F89" s="56">
        <v>16</v>
      </c>
      <c r="G89" s="56"/>
      <c r="H89" s="56"/>
      <c r="I89" s="63">
        <f t="shared" si="1"/>
        <v>82</v>
      </c>
      <c r="J89" s="59" t="s">
        <v>441</v>
      </c>
      <c r="K89" s="60" t="s">
        <v>442</v>
      </c>
      <c r="L89" s="60" t="s">
        <v>600</v>
      </c>
      <c r="M89" s="55"/>
      <c r="N89" s="56"/>
      <c r="O89" s="55"/>
    </row>
    <row r="90" spans="1:15" ht="43.2" x14ac:dyDescent="0.3">
      <c r="A90" s="10" t="s">
        <v>114</v>
      </c>
      <c r="B90" s="10" t="s">
        <v>14</v>
      </c>
      <c r="C90" s="5">
        <v>1923</v>
      </c>
      <c r="D90" s="5">
        <v>1938</v>
      </c>
      <c r="E90" s="5">
        <v>31</v>
      </c>
      <c r="F90" s="5"/>
      <c r="G90" s="5">
        <v>19</v>
      </c>
      <c r="H90" s="5"/>
      <c r="I90" s="6">
        <f t="shared" si="1"/>
        <v>50</v>
      </c>
      <c r="J90" s="7" t="s">
        <v>443</v>
      </c>
      <c r="K90" s="14" t="s">
        <v>444</v>
      </c>
      <c r="L90" s="14" t="s">
        <v>600</v>
      </c>
      <c r="M90" s="10">
        <v>0</v>
      </c>
      <c r="N90" s="5"/>
      <c r="O90" s="10"/>
    </row>
    <row r="91" spans="1:15" x14ac:dyDescent="0.3">
      <c r="A91" s="10" t="s">
        <v>115</v>
      </c>
      <c r="B91" s="10" t="s">
        <v>6</v>
      </c>
      <c r="C91" s="5">
        <v>1931</v>
      </c>
      <c r="D91" s="5">
        <v>1940</v>
      </c>
      <c r="E91" s="5">
        <v>5</v>
      </c>
      <c r="F91" s="5"/>
      <c r="G91" s="5"/>
      <c r="H91" s="5"/>
      <c r="I91" s="6">
        <f t="shared" si="1"/>
        <v>5</v>
      </c>
      <c r="J91" s="7" t="s">
        <v>116</v>
      </c>
      <c r="K91" s="14" t="s">
        <v>438</v>
      </c>
      <c r="L91" s="14" t="s">
        <v>600</v>
      </c>
      <c r="M91" s="10">
        <v>0</v>
      </c>
      <c r="N91" s="5"/>
      <c r="O91" s="10"/>
    </row>
    <row r="92" spans="1:15" ht="43.2" x14ac:dyDescent="0.3">
      <c r="A92" s="10" t="s">
        <v>446</v>
      </c>
      <c r="B92" s="10" t="s">
        <v>96</v>
      </c>
      <c r="C92" s="5">
        <v>1925</v>
      </c>
      <c r="D92" s="5">
        <v>1940</v>
      </c>
      <c r="E92" s="5">
        <v>40</v>
      </c>
      <c r="F92" s="5">
        <v>24</v>
      </c>
      <c r="G92" s="5">
        <v>26</v>
      </c>
      <c r="H92" s="5"/>
      <c r="I92" s="6">
        <f t="shared" si="1"/>
        <v>90</v>
      </c>
      <c r="J92" s="7" t="s">
        <v>448</v>
      </c>
      <c r="K92" s="14" t="s">
        <v>447</v>
      </c>
      <c r="L92" s="14" t="s">
        <v>600</v>
      </c>
      <c r="M92" s="10">
        <v>0</v>
      </c>
      <c r="N92" s="5"/>
      <c r="O92" s="10"/>
    </row>
    <row r="93" spans="1:15" ht="43.2" x14ac:dyDescent="0.3">
      <c r="A93" s="10" t="s">
        <v>445</v>
      </c>
      <c r="B93" s="10" t="s">
        <v>6</v>
      </c>
      <c r="C93" s="5">
        <v>1925</v>
      </c>
      <c r="D93" s="5">
        <v>1940</v>
      </c>
      <c r="E93" s="5">
        <v>33</v>
      </c>
      <c r="F93" s="5"/>
      <c r="G93" s="5"/>
      <c r="H93" s="5"/>
      <c r="I93" s="6">
        <f t="shared" si="1"/>
        <v>33</v>
      </c>
      <c r="J93" s="7" t="s">
        <v>449</v>
      </c>
      <c r="K93" s="14" t="s">
        <v>447</v>
      </c>
      <c r="L93" s="14" t="s">
        <v>600</v>
      </c>
      <c r="M93" s="10">
        <v>0</v>
      </c>
      <c r="N93" s="5"/>
      <c r="O93" s="10"/>
    </row>
    <row r="94" spans="1:15" x14ac:dyDescent="0.3">
      <c r="A94" s="10" t="s">
        <v>117</v>
      </c>
      <c r="B94" s="10" t="s">
        <v>6</v>
      </c>
      <c r="C94" s="5">
        <v>1928</v>
      </c>
      <c r="D94" s="5">
        <v>1940</v>
      </c>
      <c r="E94" s="5">
        <v>1</v>
      </c>
      <c r="F94" s="5"/>
      <c r="G94" s="5"/>
      <c r="H94" s="5"/>
      <c r="I94" s="6">
        <f t="shared" si="1"/>
        <v>1</v>
      </c>
      <c r="J94" s="7" t="s">
        <v>450</v>
      </c>
      <c r="K94" s="14"/>
      <c r="L94" s="14" t="s">
        <v>600</v>
      </c>
      <c r="M94" s="10">
        <v>0</v>
      </c>
      <c r="N94" s="5"/>
      <c r="O94" s="10"/>
    </row>
    <row r="95" spans="1:15" s="62" customFormat="1" ht="28.8" x14ac:dyDescent="0.3">
      <c r="A95" s="55" t="s">
        <v>118</v>
      </c>
      <c r="B95" s="55" t="s">
        <v>8</v>
      </c>
      <c r="C95" s="56">
        <v>1930</v>
      </c>
      <c r="D95" s="56">
        <v>1940</v>
      </c>
      <c r="E95" s="56"/>
      <c r="F95" s="56">
        <v>9</v>
      </c>
      <c r="G95" s="56"/>
      <c r="H95" s="56"/>
      <c r="I95" s="63">
        <f t="shared" si="1"/>
        <v>9</v>
      </c>
      <c r="J95" s="59" t="s">
        <v>451</v>
      </c>
      <c r="K95" s="60" t="s">
        <v>452</v>
      </c>
      <c r="L95" s="60" t="s">
        <v>602</v>
      </c>
      <c r="M95" s="55">
        <v>0</v>
      </c>
      <c r="N95" s="56"/>
      <c r="O95" s="55"/>
    </row>
    <row r="96" spans="1:15" ht="28.8" x14ac:dyDescent="0.3">
      <c r="A96" s="10" t="s">
        <v>119</v>
      </c>
      <c r="B96" s="10" t="s">
        <v>8</v>
      </c>
      <c r="C96" s="5">
        <v>1928</v>
      </c>
      <c r="D96" s="5">
        <v>1940</v>
      </c>
      <c r="E96" s="5"/>
      <c r="F96" s="5">
        <v>30</v>
      </c>
      <c r="G96" s="5"/>
      <c r="H96" s="5"/>
      <c r="I96" s="6">
        <f t="shared" si="1"/>
        <v>30</v>
      </c>
      <c r="J96" s="7" t="s">
        <v>453</v>
      </c>
      <c r="K96" s="14"/>
      <c r="L96" s="14" t="s">
        <v>602</v>
      </c>
      <c r="M96" s="10">
        <v>0</v>
      </c>
      <c r="N96" s="5"/>
      <c r="O96" s="10"/>
    </row>
    <row r="97" spans="1:15" ht="43.2" x14ac:dyDescent="0.3">
      <c r="A97" s="10" t="s">
        <v>120</v>
      </c>
      <c r="B97" s="10" t="s">
        <v>14</v>
      </c>
      <c r="C97" s="5">
        <v>1933</v>
      </c>
      <c r="D97" s="5">
        <v>1940</v>
      </c>
      <c r="E97" s="5">
        <v>20</v>
      </c>
      <c r="F97" s="5"/>
      <c r="G97" s="5">
        <v>14</v>
      </c>
      <c r="H97" s="5"/>
      <c r="I97" s="6">
        <f t="shared" si="1"/>
        <v>34</v>
      </c>
      <c r="J97" s="7" t="s">
        <v>454</v>
      </c>
      <c r="K97" s="14" t="s">
        <v>447</v>
      </c>
      <c r="L97" s="14" t="s">
        <v>600</v>
      </c>
      <c r="M97" s="10">
        <v>0</v>
      </c>
      <c r="O97" s="10"/>
    </row>
    <row r="98" spans="1:15" ht="43.2" x14ac:dyDescent="0.3">
      <c r="A98" s="10" t="s">
        <v>121</v>
      </c>
      <c r="B98" s="10" t="s">
        <v>8</v>
      </c>
      <c r="C98" s="5">
        <v>1939</v>
      </c>
      <c r="D98" s="5">
        <v>1942</v>
      </c>
      <c r="E98" s="5"/>
      <c r="F98" s="5">
        <v>24</v>
      </c>
      <c r="G98" s="5"/>
      <c r="H98" s="5"/>
      <c r="I98" s="6">
        <f t="shared" si="1"/>
        <v>24</v>
      </c>
      <c r="J98" s="7" t="s">
        <v>455</v>
      </c>
      <c r="K98" s="14"/>
      <c r="L98" s="14" t="s">
        <v>602</v>
      </c>
      <c r="M98" s="10">
        <v>0</v>
      </c>
      <c r="N98" s="5"/>
      <c r="O98" s="10"/>
    </row>
    <row r="99" spans="1:15" s="41" customFormat="1" ht="43.2" x14ac:dyDescent="0.3">
      <c r="A99" s="35" t="s">
        <v>122</v>
      </c>
      <c r="B99" s="35" t="s">
        <v>8</v>
      </c>
      <c r="C99" s="36">
        <v>1935</v>
      </c>
      <c r="D99" s="36">
        <v>1942</v>
      </c>
      <c r="E99" s="36"/>
      <c r="F99" s="36">
        <v>15</v>
      </c>
      <c r="G99" s="36"/>
      <c r="H99" s="36"/>
      <c r="I99" s="42">
        <f t="shared" si="1"/>
        <v>15</v>
      </c>
      <c r="J99" s="39" t="s">
        <v>456</v>
      </c>
      <c r="K99" s="40" t="s">
        <v>457</v>
      </c>
      <c r="L99" s="40" t="s">
        <v>602</v>
      </c>
      <c r="M99" s="35">
        <v>4</v>
      </c>
      <c r="N99" s="36"/>
      <c r="O99" s="35"/>
    </row>
    <row r="100" spans="1:15" x14ac:dyDescent="0.3">
      <c r="A100" s="10" t="s">
        <v>123</v>
      </c>
      <c r="B100" s="10" t="s">
        <v>41</v>
      </c>
      <c r="C100" s="5">
        <v>1935</v>
      </c>
      <c r="D100" s="5">
        <v>1940</v>
      </c>
      <c r="E100" s="5"/>
      <c r="F100" s="5"/>
      <c r="G100" s="5">
        <v>10</v>
      </c>
      <c r="H100" s="5"/>
      <c r="I100" s="6">
        <f t="shared" si="1"/>
        <v>10</v>
      </c>
      <c r="J100" s="7" t="s">
        <v>458</v>
      </c>
      <c r="K100" s="14" t="s">
        <v>413</v>
      </c>
      <c r="L100" s="14" t="s">
        <v>600</v>
      </c>
      <c r="M100" s="10">
        <v>0</v>
      </c>
      <c r="N100" s="5"/>
      <c r="O100" s="10"/>
    </row>
    <row r="101" spans="1:15" x14ac:dyDescent="0.3">
      <c r="A101" s="10" t="s">
        <v>124</v>
      </c>
      <c r="B101" s="10" t="s">
        <v>6</v>
      </c>
      <c r="C101" s="5">
        <v>1917</v>
      </c>
      <c r="D101" s="5">
        <v>1921</v>
      </c>
      <c r="E101" s="5">
        <v>10</v>
      </c>
      <c r="F101" s="5"/>
      <c r="G101" s="5"/>
      <c r="H101" s="5"/>
      <c r="I101" s="6">
        <f t="shared" si="1"/>
        <v>10</v>
      </c>
      <c r="J101" s="7" t="s">
        <v>459</v>
      </c>
      <c r="K101" s="14" t="s">
        <v>413</v>
      </c>
      <c r="L101" s="14" t="s">
        <v>600</v>
      </c>
      <c r="M101" s="10">
        <v>0</v>
      </c>
      <c r="N101" s="5"/>
      <c r="O101" s="10"/>
    </row>
    <row r="102" spans="1:15" ht="43.2" x14ac:dyDescent="0.3">
      <c r="A102" s="10" t="s">
        <v>125</v>
      </c>
      <c r="B102" s="10" t="s">
        <v>96</v>
      </c>
      <c r="C102" s="5">
        <v>1918</v>
      </c>
      <c r="D102" s="5">
        <v>1938</v>
      </c>
      <c r="E102" s="5">
        <v>25</v>
      </c>
      <c r="F102" s="5">
        <v>21</v>
      </c>
      <c r="G102" s="5">
        <v>6</v>
      </c>
      <c r="H102" s="5"/>
      <c r="I102" s="6">
        <f t="shared" si="1"/>
        <v>52</v>
      </c>
      <c r="J102" s="7" t="s">
        <v>460</v>
      </c>
      <c r="K102" s="14" t="s">
        <v>461</v>
      </c>
      <c r="L102" s="14" t="s">
        <v>600</v>
      </c>
      <c r="M102" s="10">
        <v>0</v>
      </c>
      <c r="N102" s="5"/>
      <c r="O102" s="10"/>
    </row>
    <row r="103" spans="1:15" x14ac:dyDescent="0.3">
      <c r="A103" s="10" t="s">
        <v>126</v>
      </c>
      <c r="B103" s="10" t="s">
        <v>6</v>
      </c>
      <c r="C103" s="5">
        <v>1934</v>
      </c>
      <c r="D103" s="5">
        <v>1940</v>
      </c>
      <c r="E103" s="5">
        <v>17</v>
      </c>
      <c r="F103" s="5"/>
      <c r="G103" s="5"/>
      <c r="H103" s="5"/>
      <c r="I103" s="6">
        <f t="shared" si="1"/>
        <v>17</v>
      </c>
      <c r="J103" s="7" t="s">
        <v>462</v>
      </c>
      <c r="K103" s="14" t="s">
        <v>413</v>
      </c>
      <c r="L103" s="14" t="s">
        <v>600</v>
      </c>
      <c r="M103" s="10">
        <v>0</v>
      </c>
      <c r="N103" s="5"/>
      <c r="O103" s="10"/>
    </row>
    <row r="104" spans="1:15" ht="28.8" x14ac:dyDescent="0.3">
      <c r="A104" s="10" t="s">
        <v>127</v>
      </c>
      <c r="B104" s="10" t="s">
        <v>6</v>
      </c>
      <c r="C104" s="5">
        <v>1932</v>
      </c>
      <c r="D104" s="5">
        <v>1940</v>
      </c>
      <c r="E104" s="5">
        <v>11</v>
      </c>
      <c r="F104" s="5"/>
      <c r="G104" s="5"/>
      <c r="H104" s="5"/>
      <c r="I104" s="6">
        <f t="shared" si="1"/>
        <v>11</v>
      </c>
      <c r="J104" s="7" t="s">
        <v>463</v>
      </c>
      <c r="K104" s="14" t="s">
        <v>464</v>
      </c>
      <c r="L104" s="14" t="s">
        <v>600</v>
      </c>
      <c r="M104" s="10">
        <v>0</v>
      </c>
      <c r="N104" s="5"/>
      <c r="O104" s="10"/>
    </row>
    <row r="105" spans="1:15" ht="43.2" x14ac:dyDescent="0.3">
      <c r="A105" s="10" t="s">
        <v>128</v>
      </c>
      <c r="B105" s="10" t="s">
        <v>129</v>
      </c>
      <c r="C105" s="5">
        <v>1934</v>
      </c>
      <c r="D105" s="5">
        <v>1940</v>
      </c>
      <c r="E105" s="5">
        <v>36</v>
      </c>
      <c r="F105" s="5"/>
      <c r="G105" s="5">
        <v>1</v>
      </c>
      <c r="H105" s="5"/>
      <c r="I105" s="6">
        <f t="shared" si="1"/>
        <v>37</v>
      </c>
      <c r="J105" s="7" t="s">
        <v>466</v>
      </c>
      <c r="K105" s="14" t="s">
        <v>465</v>
      </c>
      <c r="L105" s="14" t="s">
        <v>600</v>
      </c>
      <c r="M105" s="10">
        <v>0</v>
      </c>
      <c r="N105" s="5"/>
      <c r="O105" s="10"/>
    </row>
    <row r="106" spans="1:15" x14ac:dyDescent="0.3">
      <c r="A106" s="10" t="s">
        <v>483</v>
      </c>
      <c r="B106" s="10" t="s">
        <v>484</v>
      </c>
      <c r="C106" s="5">
        <v>1921</v>
      </c>
      <c r="D106" s="5">
        <v>1936</v>
      </c>
      <c r="E106" s="5"/>
      <c r="F106" s="5"/>
      <c r="G106" s="5"/>
      <c r="H106" s="5">
        <v>1</v>
      </c>
      <c r="I106" s="6">
        <f t="shared" si="1"/>
        <v>1</v>
      </c>
      <c r="J106" s="7" t="s">
        <v>485</v>
      </c>
      <c r="K106" s="14" t="s">
        <v>372</v>
      </c>
      <c r="L106" s="14" t="s">
        <v>600</v>
      </c>
      <c r="M106" s="10">
        <v>0</v>
      </c>
      <c r="N106" s="5"/>
      <c r="O106" s="10"/>
    </row>
    <row r="107" spans="1:15" ht="28.8" x14ac:dyDescent="0.3">
      <c r="A107" s="10" t="s">
        <v>130</v>
      </c>
      <c r="B107" s="10" t="s">
        <v>340</v>
      </c>
      <c r="C107" s="5">
        <v>1960</v>
      </c>
      <c r="D107" s="5">
        <v>2000</v>
      </c>
      <c r="E107" s="5">
        <v>12</v>
      </c>
      <c r="F107" s="5"/>
      <c r="G107" s="5"/>
      <c r="H107" s="5">
        <v>1</v>
      </c>
      <c r="I107" s="6">
        <f t="shared" si="1"/>
        <v>13</v>
      </c>
      <c r="J107" s="7" t="s">
        <v>467</v>
      </c>
      <c r="K107" s="14" t="s">
        <v>413</v>
      </c>
      <c r="L107" s="14" t="s">
        <v>600</v>
      </c>
      <c r="M107" s="10">
        <v>0</v>
      </c>
      <c r="N107" s="5"/>
      <c r="O107" s="10"/>
    </row>
    <row r="108" spans="1:15" ht="28.8" x14ac:dyDescent="0.3">
      <c r="A108" s="10" t="s">
        <v>304</v>
      </c>
      <c r="B108" s="10" t="s">
        <v>305</v>
      </c>
      <c r="C108" s="5">
        <v>1972</v>
      </c>
      <c r="D108" s="5">
        <v>1996</v>
      </c>
      <c r="E108" s="5"/>
      <c r="F108" s="5"/>
      <c r="G108" s="5"/>
      <c r="H108" s="5">
        <v>1</v>
      </c>
      <c r="I108" s="6">
        <f t="shared" si="1"/>
        <v>1</v>
      </c>
      <c r="J108" s="7" t="s">
        <v>468</v>
      </c>
      <c r="K108" s="14" t="s">
        <v>372</v>
      </c>
      <c r="L108" s="14" t="s">
        <v>600</v>
      </c>
      <c r="M108" s="10">
        <v>0</v>
      </c>
      <c r="N108" s="5"/>
      <c r="O108" s="10"/>
    </row>
    <row r="109" spans="1:15" x14ac:dyDescent="0.3">
      <c r="A109" s="10" t="s">
        <v>131</v>
      </c>
      <c r="B109" s="10" t="s">
        <v>14</v>
      </c>
      <c r="C109" s="5">
        <v>1934</v>
      </c>
      <c r="D109" s="5">
        <v>1940</v>
      </c>
      <c r="E109" s="5">
        <v>3</v>
      </c>
      <c r="F109" s="5"/>
      <c r="G109" s="5">
        <v>2</v>
      </c>
      <c r="H109" s="5"/>
      <c r="I109" s="6">
        <f t="shared" si="1"/>
        <v>5</v>
      </c>
      <c r="J109" s="7" t="s">
        <v>469</v>
      </c>
      <c r="K109" s="14" t="s">
        <v>413</v>
      </c>
      <c r="L109" s="14" t="s">
        <v>600</v>
      </c>
      <c r="M109" s="10">
        <v>0</v>
      </c>
      <c r="N109" s="5"/>
      <c r="O109" s="10"/>
    </row>
    <row r="110" spans="1:15" s="41" customFormat="1" ht="57.6" x14ac:dyDescent="0.3">
      <c r="A110" s="35" t="s">
        <v>132</v>
      </c>
      <c r="B110" s="35" t="s">
        <v>6</v>
      </c>
      <c r="C110" s="36">
        <v>1939</v>
      </c>
      <c r="D110" s="36">
        <v>1940</v>
      </c>
      <c r="E110" s="36">
        <v>62</v>
      </c>
      <c r="F110" s="36"/>
      <c r="G110" s="36"/>
      <c r="H110" s="36"/>
      <c r="I110" s="42">
        <f t="shared" si="1"/>
        <v>62</v>
      </c>
      <c r="J110" s="39" t="s">
        <v>470</v>
      </c>
      <c r="K110" s="40" t="s">
        <v>595</v>
      </c>
      <c r="L110" s="40" t="s">
        <v>600</v>
      </c>
      <c r="M110" s="35">
        <v>1</v>
      </c>
      <c r="N110" s="36"/>
      <c r="O110" s="35"/>
    </row>
    <row r="111" spans="1:15" ht="28.8" x14ac:dyDescent="0.3">
      <c r="A111" s="10" t="s">
        <v>133</v>
      </c>
      <c r="B111" s="10" t="s">
        <v>337</v>
      </c>
      <c r="C111" s="5">
        <v>1950</v>
      </c>
      <c r="D111" s="5">
        <v>1973</v>
      </c>
      <c r="E111" s="5">
        <v>36</v>
      </c>
      <c r="F111" s="5"/>
      <c r="G111" s="5"/>
      <c r="H111" s="5">
        <v>3</v>
      </c>
      <c r="I111" s="6">
        <f t="shared" si="1"/>
        <v>39</v>
      </c>
      <c r="J111" s="7" t="s">
        <v>355</v>
      </c>
      <c r="K111" s="14" t="s">
        <v>413</v>
      </c>
      <c r="L111" s="14" t="s">
        <v>600</v>
      </c>
      <c r="M111" s="10">
        <v>0</v>
      </c>
      <c r="N111" s="5"/>
      <c r="O111" s="10"/>
    </row>
    <row r="112" spans="1:15" x14ac:dyDescent="0.3">
      <c r="A112" s="33" t="s">
        <v>134</v>
      </c>
      <c r="B112" s="10" t="s">
        <v>87</v>
      </c>
      <c r="C112" s="5">
        <v>1954</v>
      </c>
      <c r="D112" s="5">
        <v>1967</v>
      </c>
      <c r="E112" s="5">
        <v>20</v>
      </c>
      <c r="F112" s="5"/>
      <c r="G112" s="5"/>
      <c r="H112" s="5"/>
      <c r="I112" s="6">
        <f t="shared" si="1"/>
        <v>20</v>
      </c>
      <c r="J112" s="7" t="s">
        <v>472</v>
      </c>
      <c r="K112" s="14"/>
      <c r="L112" s="14" t="s">
        <v>600</v>
      </c>
      <c r="M112" s="10">
        <v>0</v>
      </c>
      <c r="N112" s="5"/>
      <c r="O112" s="10"/>
    </row>
    <row r="113" spans="1:15" x14ac:dyDescent="0.3">
      <c r="A113" s="10" t="s">
        <v>135</v>
      </c>
      <c r="B113" s="10" t="s">
        <v>6</v>
      </c>
      <c r="C113" s="5">
        <v>1923</v>
      </c>
      <c r="D113" s="5">
        <v>1935</v>
      </c>
      <c r="E113" s="5">
        <v>14</v>
      </c>
      <c r="F113" s="5"/>
      <c r="G113" s="5"/>
      <c r="H113" s="5"/>
      <c r="I113" s="6">
        <f t="shared" si="1"/>
        <v>14</v>
      </c>
      <c r="J113" s="7" t="s">
        <v>471</v>
      </c>
      <c r="K113" s="14" t="s">
        <v>413</v>
      </c>
      <c r="L113" s="14" t="s">
        <v>600</v>
      </c>
      <c r="M113" s="10">
        <v>0</v>
      </c>
      <c r="N113" s="5"/>
      <c r="O113" s="10"/>
    </row>
    <row r="114" spans="1:15" x14ac:dyDescent="0.3">
      <c r="A114" s="10" t="s">
        <v>136</v>
      </c>
      <c r="B114" s="10" t="s">
        <v>8</v>
      </c>
      <c r="C114" s="5">
        <v>1924</v>
      </c>
      <c r="D114" s="5">
        <v>1939</v>
      </c>
      <c r="E114" s="5"/>
      <c r="F114" s="5">
        <v>19</v>
      </c>
      <c r="G114" s="5"/>
      <c r="H114" s="5"/>
      <c r="I114" s="6">
        <f t="shared" si="1"/>
        <v>19</v>
      </c>
      <c r="J114" s="7" t="s">
        <v>473</v>
      </c>
      <c r="K114" s="14" t="s">
        <v>413</v>
      </c>
      <c r="L114" s="14" t="s">
        <v>600</v>
      </c>
      <c r="M114" s="10">
        <v>0</v>
      </c>
      <c r="N114" s="5"/>
      <c r="O114" s="10"/>
    </row>
    <row r="115" spans="1:15" ht="43.2" x14ac:dyDescent="0.3">
      <c r="A115" s="10" t="s">
        <v>137</v>
      </c>
      <c r="B115" s="10" t="s">
        <v>14</v>
      </c>
      <c r="C115" s="5">
        <v>1924</v>
      </c>
      <c r="D115" s="5">
        <v>1940</v>
      </c>
      <c r="E115" s="5">
        <v>30</v>
      </c>
      <c r="F115" s="5"/>
      <c r="G115" s="5">
        <v>1</v>
      </c>
      <c r="H115" s="5"/>
      <c r="I115" s="6">
        <f t="shared" si="1"/>
        <v>31</v>
      </c>
      <c r="J115" s="7" t="s">
        <v>475</v>
      </c>
      <c r="K115" s="14" t="s">
        <v>474</v>
      </c>
      <c r="L115" s="14" t="s">
        <v>600</v>
      </c>
      <c r="M115" s="10">
        <v>0</v>
      </c>
      <c r="N115" s="5"/>
      <c r="O115" s="10"/>
    </row>
    <row r="116" spans="1:15" ht="28.8" x14ac:dyDescent="0.3">
      <c r="A116" s="10" t="s">
        <v>138</v>
      </c>
      <c r="B116" s="10" t="s">
        <v>139</v>
      </c>
      <c r="C116" s="5">
        <v>1939</v>
      </c>
      <c r="D116" s="5">
        <v>1940</v>
      </c>
      <c r="E116" s="5">
        <v>20</v>
      </c>
      <c r="F116" s="5">
        <v>15</v>
      </c>
      <c r="G116" s="5"/>
      <c r="H116" s="5"/>
      <c r="I116" s="6">
        <f t="shared" si="1"/>
        <v>35</v>
      </c>
      <c r="J116" s="7" t="s">
        <v>476</v>
      </c>
      <c r="K116" s="14" t="s">
        <v>477</v>
      </c>
      <c r="L116" s="14" t="s">
        <v>600</v>
      </c>
      <c r="M116" s="10">
        <v>0</v>
      </c>
      <c r="N116" s="5"/>
      <c r="O116" s="10"/>
    </row>
    <row r="117" spans="1:15" s="41" customFormat="1" ht="30.45" customHeight="1" x14ac:dyDescent="0.3">
      <c r="A117" s="35" t="s">
        <v>140</v>
      </c>
      <c r="B117" s="35" t="s">
        <v>8</v>
      </c>
      <c r="C117" s="36">
        <v>1924</v>
      </c>
      <c r="D117" s="36">
        <v>1942</v>
      </c>
      <c r="E117" s="36"/>
      <c r="F117" s="36">
        <v>24</v>
      </c>
      <c r="G117" s="36"/>
      <c r="H117" s="36"/>
      <c r="I117" s="42">
        <f t="shared" si="1"/>
        <v>24</v>
      </c>
      <c r="J117" s="39" t="s">
        <v>478</v>
      </c>
      <c r="K117" s="40" t="s">
        <v>479</v>
      </c>
      <c r="L117" s="40" t="s">
        <v>602</v>
      </c>
      <c r="M117" s="35">
        <v>8</v>
      </c>
      <c r="N117" s="36"/>
      <c r="O117" s="35"/>
    </row>
    <row r="118" spans="1:15" ht="28.8" x14ac:dyDescent="0.3">
      <c r="A118" s="10" t="s">
        <v>141</v>
      </c>
      <c r="B118" s="10" t="s">
        <v>105</v>
      </c>
      <c r="C118" s="5">
        <v>1937</v>
      </c>
      <c r="D118" s="5">
        <v>1940</v>
      </c>
      <c r="E118" s="5">
        <v>16</v>
      </c>
      <c r="F118" s="5"/>
      <c r="G118" s="5"/>
      <c r="H118" s="5"/>
      <c r="I118" s="6">
        <f t="shared" si="1"/>
        <v>16</v>
      </c>
      <c r="J118" s="7" t="s">
        <v>480</v>
      </c>
      <c r="K118" s="14" t="s">
        <v>413</v>
      </c>
      <c r="L118" s="14" t="s">
        <v>600</v>
      </c>
      <c r="M118" s="10">
        <v>0</v>
      </c>
      <c r="N118" s="5"/>
      <c r="O118" s="10"/>
    </row>
    <row r="119" spans="1:15" s="62" customFormat="1" ht="32.549999999999997" customHeight="1" x14ac:dyDescent="0.3">
      <c r="A119" s="55" t="s">
        <v>142</v>
      </c>
      <c r="B119" s="55" t="s">
        <v>8</v>
      </c>
      <c r="C119" s="56">
        <v>1939</v>
      </c>
      <c r="D119" s="56">
        <v>1941</v>
      </c>
      <c r="E119" s="56"/>
      <c r="F119" s="56">
        <v>31</v>
      </c>
      <c r="G119" s="56"/>
      <c r="H119" s="56"/>
      <c r="I119" s="63">
        <f t="shared" si="1"/>
        <v>31</v>
      </c>
      <c r="J119" s="59" t="s">
        <v>481</v>
      </c>
      <c r="K119" s="60" t="s">
        <v>482</v>
      </c>
      <c r="L119" s="60" t="s">
        <v>602</v>
      </c>
      <c r="M119" s="55"/>
      <c r="N119" s="56"/>
      <c r="O119" s="55"/>
    </row>
    <row r="120" spans="1:15" x14ac:dyDescent="0.3">
      <c r="A120" s="10" t="s">
        <v>143</v>
      </c>
      <c r="B120" s="10" t="s">
        <v>8</v>
      </c>
      <c r="C120" s="5">
        <v>1916</v>
      </c>
      <c r="D120" s="5">
        <v>1919</v>
      </c>
      <c r="E120" s="5"/>
      <c r="F120" s="5">
        <v>1</v>
      </c>
      <c r="G120" s="5"/>
      <c r="H120" s="5"/>
      <c r="I120" s="6">
        <f t="shared" si="1"/>
        <v>1</v>
      </c>
      <c r="J120" s="7" t="s">
        <v>51</v>
      </c>
      <c r="K120" s="14" t="s">
        <v>372</v>
      </c>
      <c r="L120" s="14" t="s">
        <v>602</v>
      </c>
      <c r="M120" s="10">
        <v>0</v>
      </c>
      <c r="N120" s="5"/>
      <c r="O120" s="10"/>
    </row>
    <row r="121" spans="1:15" x14ac:dyDescent="0.3">
      <c r="A121" s="10" t="s">
        <v>144</v>
      </c>
      <c r="B121" s="10" t="s">
        <v>8</v>
      </c>
      <c r="C121" s="5">
        <v>1915</v>
      </c>
      <c r="D121" s="5">
        <v>1918</v>
      </c>
      <c r="E121" s="5"/>
      <c r="F121" s="5">
        <v>1</v>
      </c>
      <c r="G121" s="5"/>
      <c r="H121" s="5"/>
      <c r="I121" s="6">
        <f t="shared" si="1"/>
        <v>1</v>
      </c>
      <c r="J121" s="7" t="s">
        <v>51</v>
      </c>
      <c r="K121" s="14" t="s">
        <v>372</v>
      </c>
      <c r="L121" s="14" t="s">
        <v>602</v>
      </c>
      <c r="M121" s="10">
        <v>0</v>
      </c>
      <c r="N121" s="5"/>
      <c r="O121" s="10"/>
    </row>
    <row r="122" spans="1:15" s="62" customFormat="1" ht="28.8" x14ac:dyDescent="0.3">
      <c r="A122" s="55" t="s">
        <v>145</v>
      </c>
      <c r="B122" s="55" t="s">
        <v>8</v>
      </c>
      <c r="C122" s="56">
        <v>1917</v>
      </c>
      <c r="D122" s="56">
        <v>1925</v>
      </c>
      <c r="E122" s="56"/>
      <c r="F122" s="56">
        <v>21</v>
      </c>
      <c r="G122" s="56"/>
      <c r="H122" s="56"/>
      <c r="I122" s="63">
        <f t="shared" si="1"/>
        <v>21</v>
      </c>
      <c r="J122" s="59" t="s">
        <v>487</v>
      </c>
      <c r="K122" s="60" t="s">
        <v>488</v>
      </c>
      <c r="L122" s="60" t="s">
        <v>602</v>
      </c>
      <c r="M122" s="55"/>
      <c r="N122" s="56"/>
      <c r="O122" s="55"/>
    </row>
    <row r="123" spans="1:15" x14ac:dyDescent="0.3">
      <c r="A123" s="10" t="s">
        <v>146</v>
      </c>
      <c r="B123" s="10" t="s">
        <v>8</v>
      </c>
      <c r="C123" s="5">
        <v>1918</v>
      </c>
      <c r="D123" s="5">
        <v>1923</v>
      </c>
      <c r="E123" s="5"/>
      <c r="F123" s="5">
        <v>3</v>
      </c>
      <c r="G123" s="5"/>
      <c r="H123" s="5"/>
      <c r="I123" s="6">
        <f t="shared" si="1"/>
        <v>3</v>
      </c>
      <c r="J123" s="7" t="s">
        <v>147</v>
      </c>
      <c r="K123" s="14" t="s">
        <v>413</v>
      </c>
      <c r="L123" s="14" t="s">
        <v>602</v>
      </c>
      <c r="M123" s="10">
        <v>0</v>
      </c>
      <c r="N123" s="5"/>
      <c r="O123" s="10"/>
    </row>
    <row r="124" spans="1:15" x14ac:dyDescent="0.3">
      <c r="A124" s="10" t="s">
        <v>148</v>
      </c>
      <c r="B124" s="10" t="s">
        <v>6</v>
      </c>
      <c r="C124" s="5">
        <v>1918</v>
      </c>
      <c r="D124" s="5">
        <v>1918</v>
      </c>
      <c r="E124" s="5">
        <v>1</v>
      </c>
      <c r="F124" s="5"/>
      <c r="G124" s="5"/>
      <c r="H124" s="5"/>
      <c r="I124" s="6">
        <f t="shared" si="1"/>
        <v>1</v>
      </c>
      <c r="J124" s="7" t="s">
        <v>489</v>
      </c>
      <c r="K124" s="14" t="s">
        <v>372</v>
      </c>
      <c r="L124" s="14" t="s">
        <v>600</v>
      </c>
      <c r="M124" s="10">
        <v>0</v>
      </c>
      <c r="N124" s="5"/>
      <c r="O124" s="10"/>
    </row>
    <row r="125" spans="1:15" s="62" customFormat="1" ht="57.6" x14ac:dyDescent="0.3">
      <c r="A125" s="55" t="s">
        <v>149</v>
      </c>
      <c r="B125" s="55" t="s">
        <v>70</v>
      </c>
      <c r="C125" s="56">
        <v>1948</v>
      </c>
      <c r="D125" s="56">
        <v>1961</v>
      </c>
      <c r="E125" s="56">
        <v>266</v>
      </c>
      <c r="F125" s="56"/>
      <c r="G125" s="56"/>
      <c r="H125" s="56"/>
      <c r="I125" s="63">
        <f t="shared" si="1"/>
        <v>266</v>
      </c>
      <c r="J125" s="59" t="s">
        <v>490</v>
      </c>
      <c r="K125" s="60" t="s">
        <v>491</v>
      </c>
      <c r="L125" s="60" t="s">
        <v>600</v>
      </c>
      <c r="M125" s="55"/>
      <c r="N125" s="56"/>
      <c r="O125" s="55"/>
    </row>
    <row r="126" spans="1:15" x14ac:dyDescent="0.3">
      <c r="A126" s="10" t="s">
        <v>150</v>
      </c>
      <c r="B126" s="10" t="s">
        <v>87</v>
      </c>
      <c r="C126" s="5">
        <v>1996</v>
      </c>
      <c r="D126" s="8" t="s">
        <v>21</v>
      </c>
      <c r="E126" s="5">
        <v>2</v>
      </c>
      <c r="F126" s="5"/>
      <c r="G126" s="5"/>
      <c r="H126" s="5"/>
      <c r="I126" s="6">
        <f t="shared" si="1"/>
        <v>2</v>
      </c>
      <c r="J126" s="7" t="s">
        <v>151</v>
      </c>
      <c r="K126" s="14" t="s">
        <v>413</v>
      </c>
      <c r="L126" s="14" t="s">
        <v>600</v>
      </c>
      <c r="M126" s="10">
        <v>0</v>
      </c>
      <c r="N126" s="5"/>
      <c r="O126" s="10"/>
    </row>
    <row r="127" spans="1:15" x14ac:dyDescent="0.3">
      <c r="A127" s="10" t="s">
        <v>492</v>
      </c>
      <c r="B127" s="10" t="s">
        <v>6</v>
      </c>
      <c r="C127" s="5">
        <v>1917</v>
      </c>
      <c r="D127" s="8">
        <v>1921</v>
      </c>
      <c r="E127" s="5">
        <v>1</v>
      </c>
      <c r="F127" s="5"/>
      <c r="G127" s="5"/>
      <c r="H127" s="5"/>
      <c r="I127" s="6">
        <f t="shared" si="1"/>
        <v>1</v>
      </c>
      <c r="J127" s="7" t="s">
        <v>147</v>
      </c>
      <c r="K127" s="14" t="s">
        <v>372</v>
      </c>
      <c r="L127" s="14" t="s">
        <v>600</v>
      </c>
      <c r="M127" s="10">
        <v>0</v>
      </c>
      <c r="N127" s="5"/>
      <c r="O127" s="10"/>
    </row>
    <row r="128" spans="1:15" x14ac:dyDescent="0.3">
      <c r="A128" s="10" t="s">
        <v>152</v>
      </c>
      <c r="B128" s="10" t="s">
        <v>8</v>
      </c>
      <c r="C128" s="5">
        <v>1917</v>
      </c>
      <c r="D128" s="5">
        <v>1919</v>
      </c>
      <c r="E128" s="5"/>
      <c r="F128" s="5">
        <v>1</v>
      </c>
      <c r="G128" s="5"/>
      <c r="H128" s="5"/>
      <c r="I128" s="6">
        <f t="shared" si="1"/>
        <v>1</v>
      </c>
      <c r="J128" s="7" t="s">
        <v>153</v>
      </c>
      <c r="K128" s="14" t="s">
        <v>372</v>
      </c>
      <c r="L128" s="14" t="s">
        <v>602</v>
      </c>
      <c r="M128" s="10">
        <v>0</v>
      </c>
      <c r="N128" s="5"/>
      <c r="O128" s="10"/>
    </row>
    <row r="129" spans="1:15" ht="28.8" x14ac:dyDescent="0.3">
      <c r="A129" s="10" t="s">
        <v>154</v>
      </c>
      <c r="B129" s="10" t="s">
        <v>87</v>
      </c>
      <c r="C129" s="5">
        <v>1979</v>
      </c>
      <c r="D129" s="5">
        <v>2024</v>
      </c>
      <c r="E129" s="5">
        <v>213</v>
      </c>
      <c r="F129" s="5"/>
      <c r="G129" s="5"/>
      <c r="H129" s="5"/>
      <c r="I129" s="6">
        <f t="shared" si="1"/>
        <v>213</v>
      </c>
      <c r="J129" s="7" t="s">
        <v>493</v>
      </c>
      <c r="K129" s="14" t="s">
        <v>494</v>
      </c>
      <c r="L129" s="14" t="s">
        <v>600</v>
      </c>
      <c r="M129" s="10">
        <v>0</v>
      </c>
      <c r="N129" s="5"/>
      <c r="O129" s="10"/>
    </row>
    <row r="130" spans="1:15" x14ac:dyDescent="0.3">
      <c r="A130" s="10" t="s">
        <v>155</v>
      </c>
      <c r="B130" s="10" t="s">
        <v>87</v>
      </c>
      <c r="C130" s="5">
        <v>2022</v>
      </c>
      <c r="D130" s="8" t="s">
        <v>21</v>
      </c>
      <c r="E130" s="5">
        <v>8</v>
      </c>
      <c r="F130" s="5"/>
      <c r="G130" s="5"/>
      <c r="H130" s="5"/>
      <c r="I130" s="6">
        <f t="shared" si="1"/>
        <v>8</v>
      </c>
      <c r="J130" s="7" t="s">
        <v>156</v>
      </c>
      <c r="K130" s="14" t="s">
        <v>413</v>
      </c>
      <c r="L130" s="14" t="s">
        <v>604</v>
      </c>
      <c r="M130" s="10">
        <v>0</v>
      </c>
      <c r="N130" s="5"/>
      <c r="O130" s="10"/>
    </row>
    <row r="131" spans="1:15" s="41" customFormat="1" ht="28.8" x14ac:dyDescent="0.3">
      <c r="A131" s="35" t="s">
        <v>497</v>
      </c>
      <c r="B131" s="35" t="s">
        <v>8</v>
      </c>
      <c r="C131" s="36">
        <v>1960</v>
      </c>
      <c r="D131" s="36">
        <v>1975</v>
      </c>
      <c r="E131" s="36"/>
      <c r="F131" s="36">
        <v>45</v>
      </c>
      <c r="G131" s="36"/>
      <c r="H131" s="36"/>
      <c r="I131" s="42">
        <f t="shared" si="1"/>
        <v>45</v>
      </c>
      <c r="J131" s="39" t="s">
        <v>495</v>
      </c>
      <c r="K131" s="40" t="s">
        <v>496</v>
      </c>
      <c r="L131" s="40" t="s">
        <v>600</v>
      </c>
      <c r="M131" s="35">
        <v>1</v>
      </c>
      <c r="N131" s="36"/>
      <c r="O131" s="35"/>
    </row>
    <row r="132" spans="1:15" s="41" customFormat="1" ht="43.2" x14ac:dyDescent="0.3">
      <c r="A132" s="35" t="s">
        <v>157</v>
      </c>
      <c r="B132" s="35" t="s">
        <v>8</v>
      </c>
      <c r="C132" s="36">
        <v>1954</v>
      </c>
      <c r="D132" s="36">
        <v>1961</v>
      </c>
      <c r="E132" s="36"/>
      <c r="F132" s="36">
        <v>78</v>
      </c>
      <c r="G132" s="36"/>
      <c r="H132" s="36"/>
      <c r="I132" s="42">
        <f t="shared" si="1"/>
        <v>78</v>
      </c>
      <c r="J132" s="39" t="s">
        <v>498</v>
      </c>
      <c r="K132" s="40" t="s">
        <v>499</v>
      </c>
      <c r="L132" s="40" t="s">
        <v>600</v>
      </c>
      <c r="M132" s="35">
        <v>11</v>
      </c>
      <c r="N132" s="36"/>
      <c r="O132" s="35"/>
    </row>
    <row r="133" spans="1:15" x14ac:dyDescent="0.3">
      <c r="A133" s="10" t="s">
        <v>158</v>
      </c>
      <c r="B133" s="10" t="s">
        <v>6</v>
      </c>
      <c r="C133" s="5">
        <v>1918</v>
      </c>
      <c r="D133" s="5">
        <v>1925</v>
      </c>
      <c r="E133" s="5">
        <v>2</v>
      </c>
      <c r="F133" s="5"/>
      <c r="G133" s="5"/>
      <c r="H133" s="5"/>
      <c r="I133" s="6">
        <f t="shared" si="1"/>
        <v>2</v>
      </c>
      <c r="J133" s="7" t="s">
        <v>147</v>
      </c>
      <c r="K133" s="14" t="s">
        <v>413</v>
      </c>
      <c r="L133" s="14" t="s">
        <v>600</v>
      </c>
      <c r="M133" s="10">
        <v>0</v>
      </c>
      <c r="N133" s="5"/>
      <c r="O133" s="10"/>
    </row>
    <row r="134" spans="1:15" x14ac:dyDescent="0.3">
      <c r="A134" s="10" t="s">
        <v>159</v>
      </c>
      <c r="B134" s="10" t="s">
        <v>6</v>
      </c>
      <c r="C134" s="5">
        <v>1918</v>
      </c>
      <c r="D134" s="5">
        <v>1925</v>
      </c>
      <c r="E134" s="5">
        <v>1</v>
      </c>
      <c r="F134" s="5"/>
      <c r="G134" s="5"/>
      <c r="H134" s="5"/>
      <c r="I134" s="6">
        <f t="shared" si="1"/>
        <v>1</v>
      </c>
      <c r="J134" s="7" t="s">
        <v>147</v>
      </c>
      <c r="K134" s="14" t="s">
        <v>372</v>
      </c>
      <c r="L134" s="14" t="s">
        <v>600</v>
      </c>
      <c r="M134" s="10">
        <v>0</v>
      </c>
      <c r="N134" s="5"/>
      <c r="O134" s="10"/>
    </row>
    <row r="135" spans="1:15" x14ac:dyDescent="0.3">
      <c r="A135" s="10" t="s">
        <v>160</v>
      </c>
      <c r="B135" s="10" t="s">
        <v>6</v>
      </c>
      <c r="C135" s="5">
        <v>1918</v>
      </c>
      <c r="D135" s="5">
        <v>1920</v>
      </c>
      <c r="E135" s="5">
        <v>1</v>
      </c>
      <c r="F135" s="5"/>
      <c r="G135" s="5"/>
      <c r="H135" s="5"/>
      <c r="I135" s="6">
        <f t="shared" si="1"/>
        <v>1</v>
      </c>
      <c r="J135" s="7" t="s">
        <v>500</v>
      </c>
      <c r="K135" s="14" t="s">
        <v>372</v>
      </c>
      <c r="L135" s="14" t="s">
        <v>600</v>
      </c>
      <c r="M135" s="10">
        <v>0</v>
      </c>
      <c r="N135" s="5"/>
      <c r="O135" s="10"/>
    </row>
    <row r="136" spans="1:15" x14ac:dyDescent="0.3">
      <c r="A136" s="10" t="s">
        <v>161</v>
      </c>
      <c r="B136" s="10" t="s">
        <v>6</v>
      </c>
      <c r="C136" s="5">
        <v>1918</v>
      </c>
      <c r="D136" s="5">
        <v>1919</v>
      </c>
      <c r="E136" s="5">
        <v>1</v>
      </c>
      <c r="F136" s="5"/>
      <c r="G136" s="5"/>
      <c r="H136" s="5"/>
      <c r="I136" s="6">
        <f t="shared" ref="I136:I199" si="2">SUM(E136:H136)</f>
        <v>1</v>
      </c>
      <c r="J136" s="7" t="s">
        <v>147</v>
      </c>
      <c r="K136" s="14" t="s">
        <v>372</v>
      </c>
      <c r="L136" s="14" t="s">
        <v>600</v>
      </c>
      <c r="M136" s="10">
        <v>0</v>
      </c>
      <c r="N136" s="5"/>
      <c r="O136" s="10"/>
    </row>
    <row r="137" spans="1:15" x14ac:dyDescent="0.3">
      <c r="A137" s="10" t="s">
        <v>162</v>
      </c>
      <c r="B137" s="10" t="s">
        <v>8</v>
      </c>
      <c r="C137" s="5">
        <v>1918</v>
      </c>
      <c r="D137" s="5">
        <v>1919</v>
      </c>
      <c r="E137" s="5"/>
      <c r="F137" s="5">
        <v>1</v>
      </c>
      <c r="G137" s="5"/>
      <c r="H137" s="5"/>
      <c r="I137" s="6">
        <f t="shared" si="2"/>
        <v>1</v>
      </c>
      <c r="J137" s="7" t="s">
        <v>166</v>
      </c>
      <c r="K137" s="14" t="s">
        <v>372</v>
      </c>
      <c r="L137" s="14" t="s">
        <v>602</v>
      </c>
      <c r="M137" s="10">
        <v>0</v>
      </c>
      <c r="N137" s="5"/>
      <c r="O137" s="10"/>
    </row>
    <row r="138" spans="1:15" x14ac:dyDescent="0.3">
      <c r="A138" s="10" t="s">
        <v>167</v>
      </c>
      <c r="B138" s="10" t="s">
        <v>8</v>
      </c>
      <c r="C138" s="5">
        <v>1918</v>
      </c>
      <c r="D138" s="5">
        <v>1919</v>
      </c>
      <c r="E138" s="5"/>
      <c r="F138" s="5">
        <v>2</v>
      </c>
      <c r="G138" s="5"/>
      <c r="H138" s="5"/>
      <c r="I138" s="6">
        <f t="shared" si="2"/>
        <v>2</v>
      </c>
      <c r="J138" s="7" t="s">
        <v>147</v>
      </c>
      <c r="K138" s="14" t="s">
        <v>413</v>
      </c>
      <c r="L138" s="14" t="s">
        <v>602</v>
      </c>
      <c r="M138" s="10">
        <v>0</v>
      </c>
      <c r="N138" s="5"/>
      <c r="O138" s="10"/>
    </row>
    <row r="139" spans="1:15" x14ac:dyDescent="0.3">
      <c r="A139" s="10" t="s">
        <v>344</v>
      </c>
      <c r="B139" s="10" t="s">
        <v>342</v>
      </c>
      <c r="C139" s="5">
        <v>1969</v>
      </c>
      <c r="D139" s="5">
        <v>1987</v>
      </c>
      <c r="E139" s="5"/>
      <c r="F139" s="5"/>
      <c r="G139" s="5"/>
      <c r="H139" s="5">
        <v>3</v>
      </c>
      <c r="I139" s="6">
        <f t="shared" si="2"/>
        <v>3</v>
      </c>
      <c r="J139" s="7" t="s">
        <v>501</v>
      </c>
      <c r="K139" s="14" t="s">
        <v>413</v>
      </c>
      <c r="L139" s="14" t="s">
        <v>600</v>
      </c>
      <c r="M139" s="10">
        <v>0</v>
      </c>
      <c r="N139" s="5"/>
      <c r="O139" s="10"/>
    </row>
    <row r="140" spans="1:15" s="41" customFormat="1" ht="28.8" x14ac:dyDescent="0.3">
      <c r="A140" s="35" t="s">
        <v>168</v>
      </c>
      <c r="B140" s="35" t="s">
        <v>87</v>
      </c>
      <c r="C140" s="36">
        <v>1956</v>
      </c>
      <c r="D140" s="36">
        <v>1968</v>
      </c>
      <c r="E140" s="36">
        <v>209</v>
      </c>
      <c r="F140" s="36"/>
      <c r="G140" s="36"/>
      <c r="H140" s="36"/>
      <c r="I140" s="42">
        <f t="shared" si="2"/>
        <v>209</v>
      </c>
      <c r="J140" s="39" t="s">
        <v>169</v>
      </c>
      <c r="K140" s="40" t="s">
        <v>596</v>
      </c>
      <c r="L140" s="40" t="s">
        <v>600</v>
      </c>
      <c r="M140" s="35">
        <v>1</v>
      </c>
      <c r="N140" s="36"/>
      <c r="O140" s="35"/>
    </row>
    <row r="141" spans="1:15" ht="28.8" x14ac:dyDescent="0.3">
      <c r="A141" s="10" t="s">
        <v>170</v>
      </c>
      <c r="B141" s="10" t="s">
        <v>41</v>
      </c>
      <c r="C141" s="5">
        <v>1942</v>
      </c>
      <c r="D141" s="5">
        <v>1942</v>
      </c>
      <c r="E141" s="5"/>
      <c r="F141" s="5"/>
      <c r="G141" s="5">
        <v>39</v>
      </c>
      <c r="H141" s="5"/>
      <c r="I141" s="6">
        <f t="shared" si="2"/>
        <v>39</v>
      </c>
      <c r="J141" s="7" t="s">
        <v>171</v>
      </c>
      <c r="K141" s="14" t="s">
        <v>502</v>
      </c>
      <c r="L141" s="14" t="s">
        <v>600</v>
      </c>
      <c r="M141" s="10">
        <v>0</v>
      </c>
      <c r="N141" s="5"/>
      <c r="O141" s="10"/>
    </row>
    <row r="142" spans="1:15" s="41" customFormat="1" ht="28.8" x14ac:dyDescent="0.3">
      <c r="A142" s="35" t="s">
        <v>172</v>
      </c>
      <c r="B142" s="35" t="s">
        <v>8</v>
      </c>
      <c r="C142" s="36">
        <v>1948</v>
      </c>
      <c r="D142" s="36">
        <v>1954</v>
      </c>
      <c r="E142" s="36"/>
      <c r="F142" s="36">
        <v>48</v>
      </c>
      <c r="G142" s="36"/>
      <c r="H142" s="36"/>
      <c r="I142" s="42">
        <f t="shared" si="2"/>
        <v>48</v>
      </c>
      <c r="J142" s="39" t="s">
        <v>503</v>
      </c>
      <c r="K142" s="40" t="s">
        <v>504</v>
      </c>
      <c r="L142" s="40" t="s">
        <v>600</v>
      </c>
      <c r="M142" s="35">
        <v>3</v>
      </c>
      <c r="N142" s="36"/>
      <c r="O142" s="35"/>
    </row>
    <row r="143" spans="1:15" s="41" customFormat="1" ht="28.8" x14ac:dyDescent="0.3">
      <c r="A143" s="35" t="s">
        <v>174</v>
      </c>
      <c r="B143" s="35" t="s">
        <v>8</v>
      </c>
      <c r="C143" s="36">
        <v>1954</v>
      </c>
      <c r="D143" s="36">
        <v>1964</v>
      </c>
      <c r="E143" s="36"/>
      <c r="F143" s="36">
        <v>21</v>
      </c>
      <c r="G143" s="36"/>
      <c r="H143" s="36"/>
      <c r="I143" s="42">
        <f t="shared" si="2"/>
        <v>21</v>
      </c>
      <c r="J143" s="39" t="s">
        <v>506</v>
      </c>
      <c r="K143" s="40" t="s">
        <v>505</v>
      </c>
      <c r="L143" s="40" t="s">
        <v>600</v>
      </c>
      <c r="M143" s="35">
        <v>2</v>
      </c>
      <c r="N143" s="36"/>
      <c r="O143" s="35"/>
    </row>
    <row r="144" spans="1:15" x14ac:dyDescent="0.3">
      <c r="A144" s="10" t="s">
        <v>175</v>
      </c>
      <c r="B144" s="10" t="s">
        <v>87</v>
      </c>
      <c r="C144" s="5">
        <v>1955</v>
      </c>
      <c r="D144" s="5">
        <v>1965</v>
      </c>
      <c r="E144" s="5">
        <v>36</v>
      </c>
      <c r="F144" s="5"/>
      <c r="G144" s="5"/>
      <c r="H144" s="5"/>
      <c r="I144" s="6">
        <f t="shared" si="2"/>
        <v>36</v>
      </c>
      <c r="J144" s="7" t="s">
        <v>507</v>
      </c>
      <c r="K144" s="14" t="s">
        <v>413</v>
      </c>
      <c r="L144" s="14" t="s">
        <v>601</v>
      </c>
      <c r="M144" s="10">
        <v>0</v>
      </c>
      <c r="N144" s="5"/>
      <c r="O144" s="10"/>
    </row>
    <row r="145" spans="1:15" x14ac:dyDescent="0.3">
      <c r="A145" s="10" t="s">
        <v>341</v>
      </c>
      <c r="B145" s="10" t="s">
        <v>342</v>
      </c>
      <c r="C145" s="5">
        <v>1946</v>
      </c>
      <c r="D145" s="5">
        <v>1950</v>
      </c>
      <c r="E145" s="5"/>
      <c r="F145" s="5"/>
      <c r="G145" s="5"/>
      <c r="H145" s="5">
        <v>3</v>
      </c>
      <c r="I145" s="6">
        <f t="shared" si="2"/>
        <v>3</v>
      </c>
      <c r="J145" s="7" t="s">
        <v>343</v>
      </c>
      <c r="K145" s="14" t="s">
        <v>413</v>
      </c>
      <c r="L145" s="14" t="s">
        <v>600</v>
      </c>
      <c r="M145" s="10">
        <v>0</v>
      </c>
      <c r="N145" s="5"/>
      <c r="O145" s="10"/>
    </row>
    <row r="146" spans="1:15" x14ac:dyDescent="0.3">
      <c r="A146" s="10" t="s">
        <v>176</v>
      </c>
      <c r="B146" s="10" t="s">
        <v>41</v>
      </c>
      <c r="C146" s="5">
        <v>1926</v>
      </c>
      <c r="D146" s="5">
        <v>1930</v>
      </c>
      <c r="E146" s="5"/>
      <c r="F146" s="5"/>
      <c r="G146" s="5">
        <v>4</v>
      </c>
      <c r="H146" s="5"/>
      <c r="I146" s="6">
        <f t="shared" si="2"/>
        <v>4</v>
      </c>
      <c r="J146" s="7" t="s">
        <v>508</v>
      </c>
      <c r="K146" s="14" t="s">
        <v>413</v>
      </c>
      <c r="L146" s="14" t="s">
        <v>600</v>
      </c>
      <c r="M146" s="10">
        <v>0</v>
      </c>
      <c r="N146" s="5"/>
      <c r="O146" s="10"/>
    </row>
    <row r="147" spans="1:15" x14ac:dyDescent="0.3">
      <c r="A147" s="10" t="s">
        <v>177</v>
      </c>
      <c r="B147" s="10" t="s">
        <v>105</v>
      </c>
      <c r="C147" s="5">
        <v>1939</v>
      </c>
      <c r="D147" s="5">
        <v>1945</v>
      </c>
      <c r="E147" s="5">
        <v>3</v>
      </c>
      <c r="F147" s="5"/>
      <c r="G147" s="5"/>
      <c r="H147" s="5"/>
      <c r="I147" s="6">
        <f t="shared" si="2"/>
        <v>3</v>
      </c>
      <c r="J147" s="7" t="s">
        <v>509</v>
      </c>
      <c r="K147" s="14" t="s">
        <v>413</v>
      </c>
      <c r="L147" s="14" t="s">
        <v>600</v>
      </c>
      <c r="M147" s="10">
        <v>0</v>
      </c>
      <c r="N147" s="5"/>
      <c r="O147" s="10"/>
    </row>
    <row r="148" spans="1:15" ht="28.8" x14ac:dyDescent="0.3">
      <c r="A148" s="10" t="s">
        <v>178</v>
      </c>
      <c r="B148" s="10" t="s">
        <v>105</v>
      </c>
      <c r="C148" s="5">
        <v>1935</v>
      </c>
      <c r="D148" s="5">
        <v>1940</v>
      </c>
      <c r="E148" s="5">
        <v>1</v>
      </c>
      <c r="F148" s="5"/>
      <c r="G148" s="5"/>
      <c r="H148" s="5"/>
      <c r="I148" s="6">
        <f t="shared" si="2"/>
        <v>1</v>
      </c>
      <c r="J148" s="7" t="s">
        <v>510</v>
      </c>
      <c r="K148" s="14" t="s">
        <v>372</v>
      </c>
      <c r="L148" s="14" t="s">
        <v>600</v>
      </c>
      <c r="M148" s="10">
        <v>0</v>
      </c>
      <c r="N148" s="5"/>
      <c r="O148" s="10"/>
    </row>
    <row r="149" spans="1:15" s="62" customFormat="1" ht="72" x14ac:dyDescent="0.3">
      <c r="A149" s="55" t="s">
        <v>179</v>
      </c>
      <c r="B149" s="55" t="s">
        <v>180</v>
      </c>
      <c r="C149" s="56">
        <v>1935</v>
      </c>
      <c r="D149" s="56">
        <v>1942</v>
      </c>
      <c r="E149" s="56">
        <v>54</v>
      </c>
      <c r="F149" s="56">
        <v>17</v>
      </c>
      <c r="G149" s="56">
        <v>60</v>
      </c>
      <c r="H149" s="56"/>
      <c r="I149" s="63">
        <f t="shared" si="2"/>
        <v>131</v>
      </c>
      <c r="J149" s="59" t="s">
        <v>511</v>
      </c>
      <c r="K149" s="60" t="s">
        <v>512</v>
      </c>
      <c r="L149" s="60" t="s">
        <v>600</v>
      </c>
      <c r="M149" s="55"/>
      <c r="N149" s="56"/>
      <c r="O149" s="55"/>
    </row>
    <row r="150" spans="1:15" ht="28.8" x14ac:dyDescent="0.3">
      <c r="A150" s="10" t="s">
        <v>181</v>
      </c>
      <c r="B150" s="10" t="s">
        <v>105</v>
      </c>
      <c r="C150" s="5">
        <v>1940</v>
      </c>
      <c r="D150" s="5">
        <v>1940</v>
      </c>
      <c r="E150" s="5">
        <v>4</v>
      </c>
      <c r="F150" s="5"/>
      <c r="G150" s="5"/>
      <c r="H150" s="5"/>
      <c r="I150" s="6">
        <f t="shared" si="2"/>
        <v>4</v>
      </c>
      <c r="J150" s="7" t="s">
        <v>513</v>
      </c>
      <c r="K150" s="14" t="s">
        <v>413</v>
      </c>
      <c r="L150" s="14" t="s">
        <v>600</v>
      </c>
      <c r="M150" s="10">
        <v>0</v>
      </c>
      <c r="N150" s="5"/>
      <c r="O150" s="10"/>
    </row>
    <row r="151" spans="1:15" x14ac:dyDescent="0.3">
      <c r="A151" s="10" t="s">
        <v>182</v>
      </c>
      <c r="B151" s="10" t="s">
        <v>105</v>
      </c>
      <c r="C151" s="5">
        <v>1940</v>
      </c>
      <c r="D151" s="5">
        <v>1940</v>
      </c>
      <c r="E151" s="5">
        <v>10</v>
      </c>
      <c r="F151" s="5"/>
      <c r="G151" s="5"/>
      <c r="H151" s="5"/>
      <c r="I151" s="6">
        <f t="shared" si="2"/>
        <v>10</v>
      </c>
      <c r="J151" s="7" t="s">
        <v>183</v>
      </c>
      <c r="K151" s="14" t="s">
        <v>413</v>
      </c>
      <c r="L151" s="14" t="s">
        <v>600</v>
      </c>
      <c r="M151" s="10">
        <v>0</v>
      </c>
      <c r="N151" s="5"/>
      <c r="O151" s="10"/>
    </row>
    <row r="152" spans="1:15" x14ac:dyDescent="0.3">
      <c r="A152" s="10" t="s">
        <v>514</v>
      </c>
      <c r="B152" s="10" t="s">
        <v>105</v>
      </c>
      <c r="C152" s="5">
        <v>1940</v>
      </c>
      <c r="D152" s="5">
        <v>1940</v>
      </c>
      <c r="E152" s="5">
        <v>1</v>
      </c>
      <c r="F152" s="5"/>
      <c r="G152" s="5"/>
      <c r="H152" s="5"/>
      <c r="I152" s="6">
        <f t="shared" si="2"/>
        <v>1</v>
      </c>
      <c r="J152" s="7" t="s">
        <v>515</v>
      </c>
      <c r="K152" s="14" t="s">
        <v>372</v>
      </c>
      <c r="L152" s="14" t="s">
        <v>600</v>
      </c>
      <c r="M152" s="10">
        <v>0</v>
      </c>
      <c r="N152" s="5"/>
      <c r="O152" s="10"/>
    </row>
    <row r="153" spans="1:15" ht="72" x14ac:dyDescent="0.3">
      <c r="A153" s="10" t="s">
        <v>184</v>
      </c>
      <c r="B153" s="10" t="s">
        <v>129</v>
      </c>
      <c r="C153" s="5">
        <v>1941</v>
      </c>
      <c r="D153" s="5">
        <v>1952</v>
      </c>
      <c r="E153" s="5">
        <v>16</v>
      </c>
      <c r="F153" s="5"/>
      <c r="G153" s="5">
        <v>23</v>
      </c>
      <c r="H153" s="5"/>
      <c r="I153" s="6">
        <f t="shared" si="2"/>
        <v>39</v>
      </c>
      <c r="J153" s="7" t="s">
        <v>516</v>
      </c>
      <c r="K153" s="14" t="s">
        <v>392</v>
      </c>
      <c r="L153" s="14" t="s">
        <v>600</v>
      </c>
      <c r="M153" s="10">
        <v>0</v>
      </c>
      <c r="N153" s="5"/>
      <c r="O153" s="10"/>
    </row>
    <row r="154" spans="1:15" x14ac:dyDescent="0.3">
      <c r="A154" s="10" t="s">
        <v>185</v>
      </c>
      <c r="B154" s="10" t="s">
        <v>87</v>
      </c>
      <c r="C154" s="5">
        <v>1994</v>
      </c>
      <c r="D154" s="8" t="s">
        <v>21</v>
      </c>
      <c r="E154" s="5">
        <v>4</v>
      </c>
      <c r="F154" s="5"/>
      <c r="G154" s="5"/>
      <c r="H154" s="5"/>
      <c r="I154" s="6">
        <f t="shared" si="2"/>
        <v>4</v>
      </c>
      <c r="J154" s="7" t="s">
        <v>186</v>
      </c>
      <c r="K154" s="14" t="s">
        <v>413</v>
      </c>
      <c r="L154" s="14" t="s">
        <v>600</v>
      </c>
      <c r="M154" s="10">
        <v>0</v>
      </c>
      <c r="N154" s="5"/>
      <c r="O154" s="10"/>
    </row>
    <row r="155" spans="1:15" x14ac:dyDescent="0.3">
      <c r="A155" s="10" t="s">
        <v>187</v>
      </c>
      <c r="B155" s="10" t="s">
        <v>87</v>
      </c>
      <c r="C155" s="5">
        <v>2013</v>
      </c>
      <c r="D155" s="8" t="s">
        <v>21</v>
      </c>
      <c r="E155" s="5">
        <v>58</v>
      </c>
      <c r="F155" s="5"/>
      <c r="G155" s="5"/>
      <c r="H155" s="5"/>
      <c r="I155" s="6">
        <f t="shared" si="2"/>
        <v>58</v>
      </c>
      <c r="J155" s="7" t="s">
        <v>517</v>
      </c>
      <c r="K155" s="14" t="s">
        <v>413</v>
      </c>
      <c r="L155" s="14" t="s">
        <v>600</v>
      </c>
      <c r="M155" s="10">
        <v>0</v>
      </c>
      <c r="N155" s="5"/>
      <c r="O155" s="10"/>
    </row>
    <row r="156" spans="1:15" s="41" customFormat="1" ht="28.8" x14ac:dyDescent="0.3">
      <c r="A156" s="35" t="s">
        <v>188</v>
      </c>
      <c r="B156" s="35" t="s">
        <v>87</v>
      </c>
      <c r="C156" s="36">
        <v>1962</v>
      </c>
      <c r="D156" s="36">
        <v>1984</v>
      </c>
      <c r="E156" s="36">
        <v>138</v>
      </c>
      <c r="F156" s="36"/>
      <c r="G156" s="36"/>
      <c r="H156" s="36"/>
      <c r="I156" s="42">
        <f t="shared" si="2"/>
        <v>138</v>
      </c>
      <c r="J156" s="39" t="s">
        <v>189</v>
      </c>
      <c r="K156" s="40" t="s">
        <v>518</v>
      </c>
      <c r="L156" s="40" t="s">
        <v>600</v>
      </c>
      <c r="M156" s="35">
        <v>1</v>
      </c>
      <c r="N156" s="36"/>
      <c r="O156" s="35"/>
    </row>
    <row r="157" spans="1:15" x14ac:dyDescent="0.3">
      <c r="A157" s="10" t="s">
        <v>190</v>
      </c>
      <c r="B157" s="10" t="s">
        <v>8</v>
      </c>
      <c r="C157" s="5">
        <v>1951</v>
      </c>
      <c r="D157" s="5">
        <v>1955</v>
      </c>
      <c r="E157" s="5"/>
      <c r="F157" s="5">
        <v>18</v>
      </c>
      <c r="G157" s="5"/>
      <c r="H157" s="5"/>
      <c r="I157" s="6">
        <f t="shared" si="2"/>
        <v>18</v>
      </c>
      <c r="J157" s="7" t="s">
        <v>519</v>
      </c>
      <c r="K157" s="14" t="s">
        <v>413</v>
      </c>
      <c r="L157" s="14" t="s">
        <v>600</v>
      </c>
      <c r="M157" s="10">
        <v>0</v>
      </c>
      <c r="N157" s="5"/>
      <c r="O157" s="10"/>
    </row>
    <row r="158" spans="1:15" s="41" customFormat="1" ht="138.44999999999999" customHeight="1" x14ac:dyDescent="0.3">
      <c r="A158" s="35" t="s">
        <v>191</v>
      </c>
      <c r="B158" s="35" t="s">
        <v>192</v>
      </c>
      <c r="C158" s="36">
        <v>1941</v>
      </c>
      <c r="D158" s="36">
        <v>1950</v>
      </c>
      <c r="E158" s="36">
        <v>2</v>
      </c>
      <c r="F158" s="36">
        <v>63</v>
      </c>
      <c r="G158" s="36"/>
      <c r="H158" s="36"/>
      <c r="I158" s="42">
        <f t="shared" si="2"/>
        <v>65</v>
      </c>
      <c r="J158" s="39" t="s">
        <v>370</v>
      </c>
      <c r="K158" s="40" t="s">
        <v>371</v>
      </c>
      <c r="L158" s="40" t="s">
        <v>600</v>
      </c>
      <c r="M158" s="35">
        <v>14</v>
      </c>
      <c r="N158" s="36"/>
      <c r="O158" s="35"/>
    </row>
    <row r="159" spans="1:15" ht="28.8" x14ac:dyDescent="0.3">
      <c r="A159" s="10" t="s">
        <v>193</v>
      </c>
      <c r="B159" s="10" t="s">
        <v>41</v>
      </c>
      <c r="C159" s="5">
        <v>1940</v>
      </c>
      <c r="D159" s="5">
        <v>1947</v>
      </c>
      <c r="E159" s="5"/>
      <c r="F159" s="5"/>
      <c r="G159" s="5">
        <v>26</v>
      </c>
      <c r="H159" s="5"/>
      <c r="I159" s="6">
        <f t="shared" si="2"/>
        <v>26</v>
      </c>
      <c r="J159" s="7" t="s">
        <v>520</v>
      </c>
      <c r="K159" s="14" t="s">
        <v>413</v>
      </c>
      <c r="L159" s="14" t="s">
        <v>600</v>
      </c>
      <c r="M159" s="10">
        <v>0</v>
      </c>
      <c r="N159" s="5"/>
      <c r="O159" s="10"/>
    </row>
    <row r="160" spans="1:15" ht="28.8" x14ac:dyDescent="0.3">
      <c r="A160" s="10" t="s">
        <v>194</v>
      </c>
      <c r="B160" s="10" t="s">
        <v>8</v>
      </c>
      <c r="C160" s="5">
        <v>1958</v>
      </c>
      <c r="D160" s="5">
        <v>1982</v>
      </c>
      <c r="E160" s="5"/>
      <c r="F160" s="5">
        <v>31</v>
      </c>
      <c r="G160" s="5"/>
      <c r="H160" s="5"/>
      <c r="I160" s="6">
        <f t="shared" si="2"/>
        <v>31</v>
      </c>
      <c r="J160" s="7" t="s">
        <v>521</v>
      </c>
      <c r="K160" s="14" t="s">
        <v>413</v>
      </c>
      <c r="L160" s="14" t="s">
        <v>600</v>
      </c>
      <c r="M160" s="10">
        <v>0</v>
      </c>
      <c r="N160" s="5"/>
      <c r="O160" s="10"/>
    </row>
    <row r="161" spans="1:15" x14ac:dyDescent="0.3">
      <c r="A161" s="10" t="s">
        <v>195</v>
      </c>
      <c r="B161" s="10" t="s">
        <v>8</v>
      </c>
      <c r="C161" s="5">
        <v>1981</v>
      </c>
      <c r="D161" s="5">
        <v>2005</v>
      </c>
      <c r="E161" s="5"/>
      <c r="F161" s="5">
        <v>13</v>
      </c>
      <c r="G161" s="5"/>
      <c r="H161" s="5"/>
      <c r="I161" s="6">
        <f t="shared" si="2"/>
        <v>13</v>
      </c>
      <c r="J161" s="7" t="s">
        <v>522</v>
      </c>
      <c r="K161" s="14" t="s">
        <v>413</v>
      </c>
      <c r="L161" s="14" t="s">
        <v>600</v>
      </c>
      <c r="M161" s="10">
        <v>0</v>
      </c>
      <c r="N161" s="5"/>
      <c r="O161" s="10"/>
    </row>
    <row r="162" spans="1:15" ht="28.8" x14ac:dyDescent="0.3">
      <c r="A162" s="10" t="s">
        <v>196</v>
      </c>
      <c r="B162" s="10" t="s">
        <v>87</v>
      </c>
      <c r="C162" s="5">
        <v>1953</v>
      </c>
      <c r="D162" s="5">
        <v>1972</v>
      </c>
      <c r="E162" s="5">
        <v>68</v>
      </c>
      <c r="F162" s="5"/>
      <c r="G162" s="5"/>
      <c r="H162" s="5"/>
      <c r="I162" s="6">
        <f t="shared" si="2"/>
        <v>68</v>
      </c>
      <c r="J162" s="7" t="s">
        <v>523</v>
      </c>
      <c r="K162" s="14" t="s">
        <v>413</v>
      </c>
      <c r="L162" s="14" t="s">
        <v>600</v>
      </c>
      <c r="M162" s="10">
        <v>0</v>
      </c>
      <c r="N162" s="5"/>
      <c r="O162" s="10"/>
    </row>
    <row r="163" spans="1:15" x14ac:dyDescent="0.3">
      <c r="A163" s="10" t="s">
        <v>198</v>
      </c>
      <c r="B163" s="10" t="s">
        <v>6</v>
      </c>
      <c r="C163" s="5">
        <v>1915</v>
      </c>
      <c r="D163" s="5">
        <v>1917</v>
      </c>
      <c r="E163" s="5">
        <v>1</v>
      </c>
      <c r="F163" s="5"/>
      <c r="G163" s="5"/>
      <c r="H163" s="5"/>
      <c r="I163" s="6">
        <f t="shared" si="2"/>
        <v>1</v>
      </c>
      <c r="J163" s="7" t="s">
        <v>147</v>
      </c>
      <c r="K163" s="14" t="s">
        <v>372</v>
      </c>
      <c r="L163" s="14" t="s">
        <v>600</v>
      </c>
      <c r="M163" s="10">
        <v>0</v>
      </c>
      <c r="N163" s="5"/>
      <c r="O163" s="10"/>
    </row>
    <row r="164" spans="1:15" x14ac:dyDescent="0.3">
      <c r="A164" s="10" t="s">
        <v>197</v>
      </c>
      <c r="B164" s="10" t="s">
        <v>6</v>
      </c>
      <c r="C164" s="5">
        <v>1916</v>
      </c>
      <c r="D164" s="5">
        <v>1920</v>
      </c>
      <c r="E164" s="5">
        <v>1</v>
      </c>
      <c r="F164" s="5"/>
      <c r="G164" s="5"/>
      <c r="H164" s="5"/>
      <c r="I164" s="6">
        <f t="shared" si="2"/>
        <v>1</v>
      </c>
      <c r="J164" s="7" t="s">
        <v>147</v>
      </c>
      <c r="K164" s="14" t="s">
        <v>372</v>
      </c>
      <c r="L164" s="14" t="s">
        <v>600</v>
      </c>
      <c r="M164" s="10">
        <v>0</v>
      </c>
      <c r="N164" s="5"/>
      <c r="O164" s="10"/>
    </row>
    <row r="165" spans="1:15" x14ac:dyDescent="0.3">
      <c r="A165" s="10" t="s">
        <v>199</v>
      </c>
      <c r="B165" s="10" t="s">
        <v>6</v>
      </c>
      <c r="C165" s="5">
        <v>1918</v>
      </c>
      <c r="D165" s="5">
        <v>1919</v>
      </c>
      <c r="E165" s="5">
        <v>3</v>
      </c>
      <c r="F165" s="5"/>
      <c r="G165" s="5"/>
      <c r="H165" s="5"/>
      <c r="I165" s="6">
        <f t="shared" si="2"/>
        <v>3</v>
      </c>
      <c r="J165" s="7" t="s">
        <v>147</v>
      </c>
      <c r="K165" s="14" t="s">
        <v>372</v>
      </c>
      <c r="L165" s="14" t="s">
        <v>600</v>
      </c>
      <c r="M165" s="10">
        <v>0</v>
      </c>
      <c r="N165" s="5"/>
      <c r="O165" s="10"/>
    </row>
    <row r="166" spans="1:15" x14ac:dyDescent="0.3">
      <c r="A166" s="10" t="s">
        <v>200</v>
      </c>
      <c r="B166" s="10" t="s">
        <v>6</v>
      </c>
      <c r="C166" s="5">
        <v>1913</v>
      </c>
      <c r="D166" s="5">
        <v>1915</v>
      </c>
      <c r="E166" s="5">
        <v>2</v>
      </c>
      <c r="F166" s="5"/>
      <c r="G166" s="5"/>
      <c r="H166" s="5"/>
      <c r="I166" s="6">
        <f t="shared" si="2"/>
        <v>2</v>
      </c>
      <c r="J166" s="7" t="s">
        <v>201</v>
      </c>
      <c r="K166" s="14" t="s">
        <v>413</v>
      </c>
      <c r="L166" s="14" t="s">
        <v>600</v>
      </c>
      <c r="M166" s="10">
        <v>0</v>
      </c>
      <c r="N166" s="5"/>
      <c r="O166" s="10"/>
    </row>
    <row r="167" spans="1:15" s="49" customFormat="1" ht="78" customHeight="1" x14ac:dyDescent="0.3">
      <c r="A167" s="44" t="s">
        <v>202</v>
      </c>
      <c r="B167" s="44" t="s">
        <v>41</v>
      </c>
      <c r="C167" s="45">
        <v>1936</v>
      </c>
      <c r="D167" s="45">
        <v>1942</v>
      </c>
      <c r="E167" s="45"/>
      <c r="F167" s="45"/>
      <c r="G167" s="45">
        <v>120</v>
      </c>
      <c r="H167" s="45"/>
      <c r="I167" s="46">
        <f t="shared" si="2"/>
        <v>120</v>
      </c>
      <c r="J167" s="47" t="s">
        <v>594</v>
      </c>
      <c r="K167" s="48" t="s">
        <v>377</v>
      </c>
      <c r="L167" s="48" t="s">
        <v>600</v>
      </c>
      <c r="M167" s="44">
        <v>19</v>
      </c>
      <c r="N167" s="45"/>
      <c r="O167" s="44"/>
    </row>
    <row r="168" spans="1:15" s="41" customFormat="1" ht="28.8" x14ac:dyDescent="0.3">
      <c r="A168" s="35" t="s">
        <v>203</v>
      </c>
      <c r="B168" s="35" t="s">
        <v>8</v>
      </c>
      <c r="C168" s="36">
        <v>1955</v>
      </c>
      <c r="D168" s="36">
        <v>1960</v>
      </c>
      <c r="E168" s="36"/>
      <c r="F168" s="36">
        <v>17</v>
      </c>
      <c r="G168" s="36"/>
      <c r="H168" s="36"/>
      <c r="I168" s="42">
        <f t="shared" si="2"/>
        <v>17</v>
      </c>
      <c r="J168" s="39" t="s">
        <v>524</v>
      </c>
      <c r="K168" s="40" t="s">
        <v>525</v>
      </c>
      <c r="L168" s="40" t="s">
        <v>603</v>
      </c>
      <c r="M168" s="35">
        <v>1</v>
      </c>
      <c r="N168" s="36"/>
      <c r="O168" s="35"/>
    </row>
    <row r="169" spans="1:15" x14ac:dyDescent="0.3">
      <c r="A169" s="10" t="s">
        <v>204</v>
      </c>
      <c r="B169" s="10" t="s">
        <v>81</v>
      </c>
      <c r="C169" s="5">
        <v>1917</v>
      </c>
      <c r="D169" s="5">
        <v>1920</v>
      </c>
      <c r="E169" s="5"/>
      <c r="F169" s="5">
        <v>2</v>
      </c>
      <c r="G169" s="5">
        <v>8</v>
      </c>
      <c r="H169" s="5"/>
      <c r="I169" s="6">
        <f t="shared" si="2"/>
        <v>10</v>
      </c>
      <c r="J169" s="7" t="s">
        <v>526</v>
      </c>
      <c r="K169" s="14" t="s">
        <v>413</v>
      </c>
      <c r="L169" s="14" t="s">
        <v>602</v>
      </c>
      <c r="M169" s="10">
        <v>0</v>
      </c>
      <c r="N169" s="5"/>
      <c r="O169" s="10"/>
    </row>
    <row r="170" spans="1:15" x14ac:dyDescent="0.3">
      <c r="A170" s="10" t="s">
        <v>205</v>
      </c>
      <c r="B170" s="10" t="s">
        <v>8</v>
      </c>
      <c r="C170" s="5">
        <v>1917</v>
      </c>
      <c r="D170" s="5">
        <v>1920</v>
      </c>
      <c r="E170" s="5"/>
      <c r="F170" s="5">
        <v>4</v>
      </c>
      <c r="G170" s="5"/>
      <c r="H170" s="5"/>
      <c r="I170" s="6">
        <f t="shared" si="2"/>
        <v>4</v>
      </c>
      <c r="J170" s="7" t="s">
        <v>527</v>
      </c>
      <c r="K170" s="14" t="s">
        <v>528</v>
      </c>
      <c r="L170" s="14" t="s">
        <v>602</v>
      </c>
      <c r="M170" s="10">
        <v>0</v>
      </c>
      <c r="N170" s="5"/>
      <c r="O170" s="10"/>
    </row>
    <row r="171" spans="1:15" x14ac:dyDescent="0.3">
      <c r="A171" s="10" t="s">
        <v>206</v>
      </c>
      <c r="B171" s="10" t="s">
        <v>41</v>
      </c>
      <c r="C171" s="5">
        <v>1915</v>
      </c>
      <c r="D171" s="5">
        <v>1917</v>
      </c>
      <c r="E171" s="5"/>
      <c r="F171" s="5"/>
      <c r="G171" s="5">
        <v>2</v>
      </c>
      <c r="H171" s="5"/>
      <c r="I171" s="6">
        <f t="shared" si="2"/>
        <v>2</v>
      </c>
      <c r="J171" s="7" t="s">
        <v>529</v>
      </c>
      <c r="K171" s="14" t="s">
        <v>413</v>
      </c>
      <c r="L171" s="14" t="s">
        <v>602</v>
      </c>
      <c r="M171" s="10">
        <v>0</v>
      </c>
      <c r="N171" s="5"/>
      <c r="O171" s="10"/>
    </row>
    <row r="172" spans="1:15" x14ac:dyDescent="0.3">
      <c r="A172" s="10" t="s">
        <v>207</v>
      </c>
      <c r="B172" s="10" t="s">
        <v>41</v>
      </c>
      <c r="C172" s="5">
        <v>1917</v>
      </c>
      <c r="D172" s="5">
        <v>1919</v>
      </c>
      <c r="E172" s="5"/>
      <c r="F172" s="5"/>
      <c r="G172" s="5">
        <v>4</v>
      </c>
      <c r="H172" s="5"/>
      <c r="I172" s="6">
        <f t="shared" si="2"/>
        <v>4</v>
      </c>
      <c r="J172" s="7"/>
      <c r="K172" s="14" t="s">
        <v>413</v>
      </c>
      <c r="L172" s="14" t="s">
        <v>600</v>
      </c>
      <c r="M172" s="10">
        <v>0</v>
      </c>
      <c r="N172" s="5"/>
      <c r="O172" s="10"/>
    </row>
    <row r="173" spans="1:15" ht="28.8" x14ac:dyDescent="0.3">
      <c r="A173" s="10" t="s">
        <v>319</v>
      </c>
      <c r="B173" s="10" t="s">
        <v>530</v>
      </c>
      <c r="C173" s="5">
        <v>2001</v>
      </c>
      <c r="D173" s="5">
        <v>2005</v>
      </c>
      <c r="E173" s="5">
        <v>4</v>
      </c>
      <c r="F173" s="5"/>
      <c r="G173" s="5"/>
      <c r="H173" s="5"/>
      <c r="I173" s="6">
        <f t="shared" si="2"/>
        <v>4</v>
      </c>
      <c r="J173" s="7" t="s">
        <v>327</v>
      </c>
      <c r="K173" s="14" t="s">
        <v>413</v>
      </c>
      <c r="L173" s="14" t="s">
        <v>601</v>
      </c>
      <c r="M173" s="10">
        <v>0</v>
      </c>
      <c r="N173" s="5"/>
      <c r="O173" s="10"/>
    </row>
    <row r="174" spans="1:15" s="62" customFormat="1" ht="28.8" x14ac:dyDescent="0.3">
      <c r="A174" s="55" t="s">
        <v>208</v>
      </c>
      <c r="B174" s="55" t="s">
        <v>87</v>
      </c>
      <c r="C174" s="56">
        <v>1995</v>
      </c>
      <c r="D174" s="65" t="s">
        <v>21</v>
      </c>
      <c r="E174" s="56">
        <v>72</v>
      </c>
      <c r="F174" s="56"/>
      <c r="G174" s="56"/>
      <c r="H174" s="56"/>
      <c r="I174" s="63">
        <f t="shared" si="2"/>
        <v>72</v>
      </c>
      <c r="J174" s="59" t="s">
        <v>531</v>
      </c>
      <c r="K174" s="60" t="s">
        <v>532</v>
      </c>
      <c r="L174" s="60" t="s">
        <v>601</v>
      </c>
      <c r="M174" s="55"/>
      <c r="N174" s="56"/>
      <c r="O174" s="55"/>
    </row>
    <row r="175" spans="1:15" ht="28.8" x14ac:dyDescent="0.3">
      <c r="A175" s="10" t="s">
        <v>209</v>
      </c>
      <c r="B175" s="10" t="s">
        <v>41</v>
      </c>
      <c r="C175" s="5">
        <v>1942</v>
      </c>
      <c r="D175" s="5">
        <v>1942</v>
      </c>
      <c r="E175" s="5"/>
      <c r="F175" s="5"/>
      <c r="G175" s="5">
        <v>1</v>
      </c>
      <c r="H175" s="5"/>
      <c r="I175" s="6">
        <f t="shared" si="2"/>
        <v>1</v>
      </c>
      <c r="J175" s="7" t="s">
        <v>210</v>
      </c>
      <c r="K175" s="14" t="s">
        <v>372</v>
      </c>
      <c r="L175" s="14" t="s">
        <v>600</v>
      </c>
      <c r="M175" s="10">
        <v>0</v>
      </c>
      <c r="N175" s="5"/>
      <c r="O175" s="10"/>
    </row>
    <row r="176" spans="1:15" x14ac:dyDescent="0.3">
      <c r="A176" s="10" t="s">
        <v>211</v>
      </c>
      <c r="B176" s="10" t="s">
        <v>9</v>
      </c>
      <c r="C176" s="5">
        <v>1995</v>
      </c>
      <c r="D176" s="5">
        <v>2021</v>
      </c>
      <c r="E176" s="5">
        <v>3</v>
      </c>
      <c r="F176" s="5"/>
      <c r="G176" s="5"/>
      <c r="H176" s="5"/>
      <c r="I176" s="6">
        <f t="shared" si="2"/>
        <v>3</v>
      </c>
      <c r="J176" s="7" t="s">
        <v>212</v>
      </c>
      <c r="K176" s="14" t="s">
        <v>413</v>
      </c>
      <c r="L176" s="14" t="s">
        <v>600</v>
      </c>
      <c r="M176" s="10">
        <v>0</v>
      </c>
      <c r="N176" s="5"/>
      <c r="O176" s="10"/>
    </row>
    <row r="177" spans="1:15" x14ac:dyDescent="0.3">
      <c r="A177" s="10" t="s">
        <v>213</v>
      </c>
      <c r="B177" s="10" t="s">
        <v>41</v>
      </c>
      <c r="C177" s="5">
        <v>1941</v>
      </c>
      <c r="D177" s="5">
        <v>1942</v>
      </c>
      <c r="E177" s="5"/>
      <c r="F177" s="5"/>
      <c r="G177" s="5">
        <v>1</v>
      </c>
      <c r="H177" s="5"/>
      <c r="I177" s="6">
        <f t="shared" si="2"/>
        <v>1</v>
      </c>
      <c r="J177" s="7" t="s">
        <v>214</v>
      </c>
      <c r="K177" s="14" t="s">
        <v>372</v>
      </c>
      <c r="L177" s="14" t="s">
        <v>600</v>
      </c>
      <c r="M177" s="10">
        <v>0</v>
      </c>
      <c r="N177" s="5"/>
      <c r="O177" s="10"/>
    </row>
    <row r="178" spans="1:15" x14ac:dyDescent="0.3">
      <c r="A178" s="10" t="s">
        <v>215</v>
      </c>
      <c r="B178" s="10" t="s">
        <v>41</v>
      </c>
      <c r="C178" s="5">
        <v>1945</v>
      </c>
      <c r="D178" s="5">
        <v>1946</v>
      </c>
      <c r="E178" s="5"/>
      <c r="F178" s="5"/>
      <c r="G178" s="5">
        <v>1</v>
      </c>
      <c r="H178" s="5"/>
      <c r="I178" s="6">
        <f t="shared" si="2"/>
        <v>1</v>
      </c>
      <c r="J178" s="7" t="s">
        <v>216</v>
      </c>
      <c r="K178" s="14" t="s">
        <v>372</v>
      </c>
      <c r="L178" s="14" t="s">
        <v>600</v>
      </c>
      <c r="M178" s="10">
        <v>0</v>
      </c>
      <c r="N178" s="5"/>
      <c r="O178" s="10"/>
    </row>
    <row r="179" spans="1:15" x14ac:dyDescent="0.3">
      <c r="A179" s="10" t="s">
        <v>217</v>
      </c>
      <c r="B179" s="10" t="s">
        <v>41</v>
      </c>
      <c r="C179" s="5">
        <v>1945</v>
      </c>
      <c r="D179" s="5">
        <v>1946</v>
      </c>
      <c r="E179" s="5"/>
      <c r="F179" s="5"/>
      <c r="G179" s="5">
        <v>4</v>
      </c>
      <c r="H179" s="5"/>
      <c r="I179" s="6">
        <f t="shared" si="2"/>
        <v>4</v>
      </c>
      <c r="J179" s="7" t="s">
        <v>216</v>
      </c>
      <c r="K179" s="14" t="s">
        <v>413</v>
      </c>
      <c r="L179" s="14" t="s">
        <v>600</v>
      </c>
      <c r="M179" s="10">
        <v>0</v>
      </c>
      <c r="N179" s="5"/>
      <c r="O179" s="10"/>
    </row>
    <row r="180" spans="1:15" x14ac:dyDescent="0.3">
      <c r="A180" s="10" t="s">
        <v>218</v>
      </c>
      <c r="B180" s="10" t="s">
        <v>41</v>
      </c>
      <c r="C180" s="5">
        <v>1924</v>
      </c>
      <c r="D180" s="5">
        <v>1933</v>
      </c>
      <c r="E180" s="5"/>
      <c r="F180" s="5"/>
      <c r="G180" s="5">
        <v>1</v>
      </c>
      <c r="H180" s="5"/>
      <c r="I180" s="6">
        <f t="shared" si="2"/>
        <v>1</v>
      </c>
      <c r="J180" s="7" t="s">
        <v>533</v>
      </c>
      <c r="K180" s="14" t="s">
        <v>372</v>
      </c>
      <c r="L180" s="14" t="s">
        <v>600</v>
      </c>
      <c r="M180" s="10">
        <v>0</v>
      </c>
      <c r="N180" s="5"/>
      <c r="O180" s="10"/>
    </row>
    <row r="181" spans="1:15" x14ac:dyDescent="0.3">
      <c r="A181" s="10" t="s">
        <v>219</v>
      </c>
      <c r="B181" s="10" t="s">
        <v>6</v>
      </c>
      <c r="C181" s="5">
        <v>1915</v>
      </c>
      <c r="D181" s="5">
        <v>1917</v>
      </c>
      <c r="E181" s="5">
        <v>1</v>
      </c>
      <c r="F181" s="5"/>
      <c r="G181" s="5"/>
      <c r="H181" s="5"/>
      <c r="I181" s="6">
        <f t="shared" si="2"/>
        <v>1</v>
      </c>
      <c r="J181" s="7" t="s">
        <v>147</v>
      </c>
      <c r="K181" s="14" t="s">
        <v>372</v>
      </c>
      <c r="L181" s="14" t="s">
        <v>600</v>
      </c>
      <c r="M181" s="10">
        <v>0</v>
      </c>
      <c r="N181" s="5"/>
      <c r="O181" s="10"/>
    </row>
    <row r="182" spans="1:15" x14ac:dyDescent="0.3">
      <c r="A182" s="10" t="s">
        <v>350</v>
      </c>
      <c r="B182" s="10" t="s">
        <v>342</v>
      </c>
      <c r="C182" s="5">
        <v>1962</v>
      </c>
      <c r="D182" s="5">
        <v>1974</v>
      </c>
      <c r="E182" s="5"/>
      <c r="F182" s="5"/>
      <c r="G182" s="5"/>
      <c r="H182" s="5">
        <v>7</v>
      </c>
      <c r="I182" s="6">
        <f t="shared" si="2"/>
        <v>7</v>
      </c>
      <c r="J182" s="7" t="s">
        <v>534</v>
      </c>
      <c r="K182" s="14" t="s">
        <v>535</v>
      </c>
      <c r="L182" s="14" t="s">
        <v>600</v>
      </c>
      <c r="M182" s="10">
        <v>0</v>
      </c>
      <c r="N182" s="5"/>
      <c r="O182" s="10"/>
    </row>
    <row r="183" spans="1:15" ht="31.05" customHeight="1" x14ac:dyDescent="0.3">
      <c r="A183" s="10" t="s">
        <v>220</v>
      </c>
      <c r="B183" s="10" t="s">
        <v>536</v>
      </c>
      <c r="C183" s="5">
        <v>1975</v>
      </c>
      <c r="D183" s="5">
        <v>2005</v>
      </c>
      <c r="E183" s="5">
        <v>31</v>
      </c>
      <c r="F183" s="5"/>
      <c r="G183" s="5"/>
      <c r="H183" s="5">
        <v>11</v>
      </c>
      <c r="I183" s="6">
        <f t="shared" si="2"/>
        <v>42</v>
      </c>
      <c r="J183" s="7" t="s">
        <v>326</v>
      </c>
      <c r="K183" s="14" t="s">
        <v>537</v>
      </c>
      <c r="L183" s="14" t="s">
        <v>601</v>
      </c>
      <c r="M183" s="10">
        <v>0</v>
      </c>
      <c r="N183" s="5"/>
      <c r="O183" s="10"/>
    </row>
    <row r="184" spans="1:15" s="49" customFormat="1" ht="28.8" x14ac:dyDescent="0.3">
      <c r="A184" s="44" t="s">
        <v>221</v>
      </c>
      <c r="B184" s="44" t="s">
        <v>222</v>
      </c>
      <c r="C184" s="45">
        <v>2013</v>
      </c>
      <c r="D184" s="50" t="s">
        <v>21</v>
      </c>
      <c r="E184" s="45"/>
      <c r="F184" s="45">
        <v>23</v>
      </c>
      <c r="G184" s="45"/>
      <c r="H184" s="45"/>
      <c r="I184" s="46">
        <f t="shared" si="2"/>
        <v>23</v>
      </c>
      <c r="J184" s="47" t="s">
        <v>538</v>
      </c>
      <c r="K184" s="48" t="s">
        <v>539</v>
      </c>
      <c r="L184" s="48" t="s">
        <v>601</v>
      </c>
      <c r="M184" s="44"/>
      <c r="N184" s="45"/>
      <c r="O184" s="44"/>
    </row>
    <row r="185" spans="1:15" x14ac:dyDescent="0.3">
      <c r="A185" s="10" t="s">
        <v>227</v>
      </c>
      <c r="B185" s="10" t="s">
        <v>6</v>
      </c>
      <c r="C185" s="5">
        <v>1918</v>
      </c>
      <c r="D185" s="5">
        <v>1925</v>
      </c>
      <c r="E185" s="5">
        <v>20</v>
      </c>
      <c r="F185" s="5"/>
      <c r="G185" s="5"/>
      <c r="H185" s="5"/>
      <c r="I185" s="6">
        <f t="shared" si="2"/>
        <v>20</v>
      </c>
      <c r="J185" s="7" t="s">
        <v>228</v>
      </c>
      <c r="K185" s="14" t="s">
        <v>413</v>
      </c>
      <c r="L185" s="14" t="s">
        <v>600</v>
      </c>
      <c r="M185" s="10">
        <v>0</v>
      </c>
      <c r="N185" s="5"/>
      <c r="O185" s="10"/>
    </row>
    <row r="186" spans="1:15" x14ac:dyDescent="0.3">
      <c r="A186" s="10" t="s">
        <v>229</v>
      </c>
      <c r="B186" s="10" t="s">
        <v>6</v>
      </c>
      <c r="C186" s="5">
        <v>1918</v>
      </c>
      <c r="D186" s="5">
        <v>1922</v>
      </c>
      <c r="E186" s="5">
        <v>5</v>
      </c>
      <c r="F186" s="5"/>
      <c r="G186" s="5"/>
      <c r="H186" s="5"/>
      <c r="I186" s="6">
        <f t="shared" si="2"/>
        <v>5</v>
      </c>
      <c r="J186" s="7"/>
      <c r="K186" s="14" t="s">
        <v>413</v>
      </c>
      <c r="L186" s="14" t="s">
        <v>600</v>
      </c>
      <c r="M186" s="10">
        <v>0</v>
      </c>
      <c r="N186" s="5"/>
      <c r="O186" s="10"/>
    </row>
    <row r="187" spans="1:15" x14ac:dyDescent="0.3">
      <c r="A187" s="10" t="s">
        <v>230</v>
      </c>
      <c r="B187" s="10" t="s">
        <v>6</v>
      </c>
      <c r="C187" s="5">
        <v>1918</v>
      </c>
      <c r="D187" s="5">
        <v>1925</v>
      </c>
      <c r="E187" s="5">
        <v>5</v>
      </c>
      <c r="F187" s="5"/>
      <c r="G187" s="5"/>
      <c r="H187" s="5"/>
      <c r="I187" s="6">
        <f t="shared" si="2"/>
        <v>5</v>
      </c>
      <c r="J187" s="7"/>
      <c r="K187" s="14" t="s">
        <v>413</v>
      </c>
      <c r="L187" s="14" t="s">
        <v>600</v>
      </c>
      <c r="M187" s="10">
        <v>0</v>
      </c>
      <c r="N187" s="5"/>
      <c r="O187" s="10"/>
    </row>
    <row r="188" spans="1:15" x14ac:dyDescent="0.3">
      <c r="A188" s="10" t="s">
        <v>231</v>
      </c>
      <c r="B188" s="10" t="s">
        <v>41</v>
      </c>
      <c r="C188" s="5">
        <v>1948</v>
      </c>
      <c r="D188" s="5">
        <v>1950</v>
      </c>
      <c r="E188" s="5"/>
      <c r="F188" s="5"/>
      <c r="G188" s="5">
        <v>1</v>
      </c>
      <c r="H188" s="5"/>
      <c r="I188" s="6">
        <f t="shared" si="2"/>
        <v>1</v>
      </c>
      <c r="J188" s="7" t="s">
        <v>540</v>
      </c>
      <c r="K188" s="14" t="s">
        <v>372</v>
      </c>
      <c r="L188" s="14" t="s">
        <v>600</v>
      </c>
      <c r="M188" s="10">
        <v>0</v>
      </c>
      <c r="N188" s="5"/>
      <c r="O188" s="10"/>
    </row>
    <row r="189" spans="1:15" x14ac:dyDescent="0.3">
      <c r="A189" s="10" t="s">
        <v>232</v>
      </c>
      <c r="B189" s="10" t="s">
        <v>41</v>
      </c>
      <c r="C189" s="5">
        <v>1945</v>
      </c>
      <c r="D189" s="5">
        <v>1949</v>
      </c>
      <c r="E189" s="5"/>
      <c r="F189" s="5"/>
      <c r="G189" s="5">
        <v>40</v>
      </c>
      <c r="H189" s="5"/>
      <c r="I189" s="6">
        <f t="shared" si="2"/>
        <v>40</v>
      </c>
      <c r="J189" s="7" t="s">
        <v>233</v>
      </c>
      <c r="K189" s="14" t="s">
        <v>413</v>
      </c>
      <c r="L189" s="14" t="s">
        <v>600</v>
      </c>
      <c r="M189" s="10">
        <v>0</v>
      </c>
      <c r="N189" s="5"/>
      <c r="O189" s="10"/>
    </row>
    <row r="190" spans="1:15" s="49" customFormat="1" ht="163.05000000000001" customHeight="1" x14ac:dyDescent="0.3">
      <c r="A190" s="44" t="s">
        <v>234</v>
      </c>
      <c r="B190" s="44" t="s">
        <v>81</v>
      </c>
      <c r="C190" s="45">
        <v>1943</v>
      </c>
      <c r="D190" s="45">
        <v>1954</v>
      </c>
      <c r="E190" s="45">
        <v>29</v>
      </c>
      <c r="F190" s="45">
        <v>95</v>
      </c>
      <c r="G190" s="45">
        <v>145</v>
      </c>
      <c r="H190" s="45"/>
      <c r="I190" s="46">
        <f t="shared" si="2"/>
        <v>269</v>
      </c>
      <c r="J190" s="47" t="s">
        <v>237</v>
      </c>
      <c r="K190" s="53" t="s">
        <v>373</v>
      </c>
      <c r="L190" s="53" t="s">
        <v>600</v>
      </c>
      <c r="M190" s="44">
        <v>50</v>
      </c>
      <c r="N190" s="45"/>
      <c r="O190" s="44" t="s">
        <v>374</v>
      </c>
    </row>
    <row r="191" spans="1:15" x14ac:dyDescent="0.3">
      <c r="A191" s="10" t="s">
        <v>235</v>
      </c>
      <c r="B191" s="10" t="s">
        <v>87</v>
      </c>
      <c r="C191" s="5">
        <v>1956</v>
      </c>
      <c r="D191" s="5">
        <v>1964</v>
      </c>
      <c r="E191" s="5">
        <v>63</v>
      </c>
      <c r="F191" s="5"/>
      <c r="G191" s="5"/>
      <c r="H191" s="5"/>
      <c r="I191" s="6">
        <f t="shared" si="2"/>
        <v>63</v>
      </c>
      <c r="J191" s="7" t="s">
        <v>541</v>
      </c>
      <c r="K191" s="14" t="s">
        <v>413</v>
      </c>
      <c r="L191" s="14" t="s">
        <v>600</v>
      </c>
      <c r="M191" s="10">
        <v>0</v>
      </c>
      <c r="N191" s="5"/>
      <c r="O191" s="10"/>
    </row>
    <row r="192" spans="1:15" s="41" customFormat="1" ht="81.45" customHeight="1" x14ac:dyDescent="0.3">
      <c r="A192" s="35" t="s">
        <v>347</v>
      </c>
      <c r="B192" s="35" t="s">
        <v>542</v>
      </c>
      <c r="C192" s="36">
        <v>1942</v>
      </c>
      <c r="D192" s="36">
        <v>1972</v>
      </c>
      <c r="E192" s="36">
        <v>175</v>
      </c>
      <c r="F192" s="36"/>
      <c r="G192" s="36">
        <v>28</v>
      </c>
      <c r="H192" s="36">
        <v>22</v>
      </c>
      <c r="I192" s="42">
        <f t="shared" si="2"/>
        <v>225</v>
      </c>
      <c r="J192" s="39" t="s">
        <v>543</v>
      </c>
      <c r="K192" s="40" t="s">
        <v>544</v>
      </c>
      <c r="L192" s="40" t="s">
        <v>600</v>
      </c>
      <c r="M192" s="35">
        <v>3</v>
      </c>
      <c r="N192" s="36"/>
      <c r="O192" s="35"/>
    </row>
    <row r="193" spans="1:15" x14ac:dyDescent="0.3">
      <c r="A193" s="10" t="s">
        <v>238</v>
      </c>
      <c r="B193" s="10" t="s">
        <v>105</v>
      </c>
      <c r="C193" s="5">
        <v>1939</v>
      </c>
      <c r="D193" s="5">
        <v>1940</v>
      </c>
      <c r="E193" s="5">
        <v>1</v>
      </c>
      <c r="F193" s="5"/>
      <c r="G193" s="5"/>
      <c r="H193" s="5"/>
      <c r="I193" s="6">
        <f t="shared" si="2"/>
        <v>1</v>
      </c>
      <c r="J193" s="7" t="s">
        <v>239</v>
      </c>
      <c r="K193" s="14" t="s">
        <v>372</v>
      </c>
      <c r="L193" s="14" t="s">
        <v>600</v>
      </c>
      <c r="M193" s="10">
        <v>0</v>
      </c>
      <c r="N193" s="5"/>
      <c r="O193" s="10"/>
    </row>
    <row r="194" spans="1:15" x14ac:dyDescent="0.3">
      <c r="A194" s="10" t="s">
        <v>240</v>
      </c>
      <c r="B194" s="10" t="s">
        <v>87</v>
      </c>
      <c r="C194" s="5">
        <v>1969</v>
      </c>
      <c r="D194" s="5">
        <v>1991</v>
      </c>
      <c r="E194" s="5">
        <v>105</v>
      </c>
      <c r="F194" s="5"/>
      <c r="G194" s="5"/>
      <c r="H194" s="5"/>
      <c r="I194" s="6">
        <f t="shared" si="2"/>
        <v>105</v>
      </c>
      <c r="J194" s="7" t="s">
        <v>241</v>
      </c>
      <c r="K194" s="14" t="s">
        <v>413</v>
      </c>
      <c r="L194" s="14" t="s">
        <v>600</v>
      </c>
      <c r="M194" s="10">
        <v>0</v>
      </c>
      <c r="N194" s="5"/>
      <c r="O194" s="10"/>
    </row>
    <row r="195" spans="1:15" x14ac:dyDescent="0.3">
      <c r="A195" s="10" t="s">
        <v>242</v>
      </c>
      <c r="B195" s="10" t="s">
        <v>8</v>
      </c>
      <c r="C195" s="5">
        <v>1925</v>
      </c>
      <c r="D195" s="5">
        <v>1927</v>
      </c>
      <c r="E195" s="5"/>
      <c r="F195" s="5">
        <v>2</v>
      </c>
      <c r="G195" s="5"/>
      <c r="H195" s="5"/>
      <c r="I195" s="6">
        <f t="shared" si="2"/>
        <v>2</v>
      </c>
      <c r="J195" s="7" t="s">
        <v>547</v>
      </c>
      <c r="K195" s="14" t="s">
        <v>413</v>
      </c>
      <c r="L195" s="14" t="s">
        <v>600</v>
      </c>
      <c r="M195" s="10">
        <v>0</v>
      </c>
      <c r="N195" s="5"/>
      <c r="O195" s="10"/>
    </row>
    <row r="196" spans="1:15" x14ac:dyDescent="0.3">
      <c r="A196" s="10" t="s">
        <v>243</v>
      </c>
      <c r="B196" s="10" t="s">
        <v>87</v>
      </c>
      <c r="C196" s="5">
        <v>1944</v>
      </c>
      <c r="D196" s="5">
        <v>1953</v>
      </c>
      <c r="E196" s="5">
        <v>11</v>
      </c>
      <c r="F196" s="5"/>
      <c r="G196" s="5"/>
      <c r="H196" s="5"/>
      <c r="I196" s="6">
        <f t="shared" si="2"/>
        <v>11</v>
      </c>
      <c r="J196" s="7" t="s">
        <v>545</v>
      </c>
      <c r="K196" s="14" t="s">
        <v>413</v>
      </c>
      <c r="L196" s="14" t="s">
        <v>600</v>
      </c>
      <c r="M196" s="10">
        <v>0</v>
      </c>
      <c r="N196" s="5"/>
      <c r="O196" s="10"/>
    </row>
    <row r="197" spans="1:15" x14ac:dyDescent="0.3">
      <c r="A197" s="10" t="s">
        <v>244</v>
      </c>
      <c r="B197" s="10" t="s">
        <v>6</v>
      </c>
      <c r="C197" s="5">
        <v>1918</v>
      </c>
      <c r="D197" s="5">
        <v>1921</v>
      </c>
      <c r="E197" s="5">
        <v>1</v>
      </c>
      <c r="F197" s="5"/>
      <c r="G197" s="5"/>
      <c r="H197" s="5"/>
      <c r="I197" s="6">
        <f t="shared" si="2"/>
        <v>1</v>
      </c>
      <c r="J197" s="7" t="s">
        <v>147</v>
      </c>
      <c r="K197" s="14" t="s">
        <v>372</v>
      </c>
      <c r="L197" s="14" t="s">
        <v>600</v>
      </c>
      <c r="M197" s="10">
        <v>0</v>
      </c>
      <c r="N197" s="5"/>
      <c r="O197" s="10"/>
    </row>
    <row r="198" spans="1:15" ht="28.8" x14ac:dyDescent="0.3">
      <c r="A198" s="10" t="s">
        <v>312</v>
      </c>
      <c r="B198" s="10" t="s">
        <v>546</v>
      </c>
      <c r="C198" s="5">
        <v>1988</v>
      </c>
      <c r="D198" s="5">
        <v>2003</v>
      </c>
      <c r="E198" s="5">
        <v>2</v>
      </c>
      <c r="F198" s="5"/>
      <c r="G198" s="5"/>
      <c r="H198" s="5"/>
      <c r="I198" s="6">
        <f t="shared" si="2"/>
        <v>2</v>
      </c>
      <c r="J198" s="7" t="s">
        <v>548</v>
      </c>
      <c r="K198" s="14" t="s">
        <v>413</v>
      </c>
      <c r="L198" s="14" t="s">
        <v>600</v>
      </c>
      <c r="M198" s="10">
        <v>0</v>
      </c>
      <c r="N198" s="5"/>
      <c r="O198" s="10"/>
    </row>
    <row r="199" spans="1:15" x14ac:dyDescent="0.3">
      <c r="A199" s="10" t="s">
        <v>245</v>
      </c>
      <c r="B199" s="10" t="s">
        <v>70</v>
      </c>
      <c r="C199" s="5">
        <v>1989</v>
      </c>
      <c r="D199" s="8" t="s">
        <v>21</v>
      </c>
      <c r="E199" s="5">
        <v>21</v>
      </c>
      <c r="F199" s="5"/>
      <c r="G199" s="5"/>
      <c r="H199" s="5"/>
      <c r="I199" s="6">
        <f t="shared" si="2"/>
        <v>21</v>
      </c>
      <c r="J199" s="7" t="s">
        <v>549</v>
      </c>
      <c r="K199" s="14" t="s">
        <v>413</v>
      </c>
      <c r="L199" s="14" t="s">
        <v>600</v>
      </c>
      <c r="M199" s="10">
        <v>0</v>
      </c>
      <c r="N199" s="5"/>
      <c r="O199" s="10"/>
    </row>
    <row r="200" spans="1:15" ht="57.6" x14ac:dyDescent="0.3">
      <c r="A200" s="10" t="s">
        <v>246</v>
      </c>
      <c r="B200" s="10" t="s">
        <v>236</v>
      </c>
      <c r="C200" s="5">
        <v>1940</v>
      </c>
      <c r="D200" s="5">
        <v>1976</v>
      </c>
      <c r="E200" s="5">
        <v>162</v>
      </c>
      <c r="F200" s="5"/>
      <c r="G200" s="5">
        <v>82</v>
      </c>
      <c r="H200" s="5"/>
      <c r="I200" s="6">
        <f t="shared" ref="I200:I246" si="3">SUM(E200:H200)</f>
        <v>244</v>
      </c>
      <c r="J200" s="7" t="s">
        <v>550</v>
      </c>
      <c r="K200" s="14" t="s">
        <v>447</v>
      </c>
      <c r="L200" s="14" t="s">
        <v>600</v>
      </c>
      <c r="M200" s="10">
        <v>0</v>
      </c>
      <c r="N200" s="5"/>
      <c r="O200" s="10"/>
    </row>
    <row r="201" spans="1:15" x14ac:dyDescent="0.3">
      <c r="A201" s="10" t="s">
        <v>247</v>
      </c>
      <c r="B201" s="10" t="s">
        <v>226</v>
      </c>
      <c r="C201" s="5">
        <v>1943</v>
      </c>
      <c r="D201" s="5">
        <v>1946</v>
      </c>
      <c r="E201" s="5">
        <v>1</v>
      </c>
      <c r="F201" s="5"/>
      <c r="G201" s="5"/>
      <c r="H201" s="5"/>
      <c r="I201" s="6">
        <f t="shared" si="3"/>
        <v>1</v>
      </c>
      <c r="J201" s="7" t="s">
        <v>248</v>
      </c>
      <c r="K201" s="14" t="s">
        <v>372</v>
      </c>
      <c r="L201" s="14" t="s">
        <v>600</v>
      </c>
      <c r="M201" s="10">
        <v>0</v>
      </c>
      <c r="N201" s="5"/>
      <c r="O201" s="10"/>
    </row>
    <row r="202" spans="1:15" x14ac:dyDescent="0.3">
      <c r="A202" s="10" t="s">
        <v>249</v>
      </c>
      <c r="B202" s="10" t="s">
        <v>6</v>
      </c>
      <c r="C202" s="5">
        <v>1915</v>
      </c>
      <c r="D202" s="5">
        <v>1918</v>
      </c>
      <c r="E202" s="5">
        <v>2</v>
      </c>
      <c r="F202" s="5"/>
      <c r="G202" s="5"/>
      <c r="H202" s="5"/>
      <c r="I202" s="6">
        <f t="shared" si="3"/>
        <v>2</v>
      </c>
      <c r="J202" s="7" t="s">
        <v>147</v>
      </c>
      <c r="K202" s="14" t="s">
        <v>413</v>
      </c>
      <c r="L202" s="14" t="s">
        <v>600</v>
      </c>
      <c r="M202" s="10">
        <v>0</v>
      </c>
      <c r="N202" s="5"/>
      <c r="O202" s="10"/>
    </row>
    <row r="203" spans="1:15" x14ac:dyDescent="0.3">
      <c r="A203" s="10" t="s">
        <v>250</v>
      </c>
      <c r="B203" s="10" t="s">
        <v>6</v>
      </c>
      <c r="C203" s="5">
        <v>1918</v>
      </c>
      <c r="D203" s="5">
        <v>1920</v>
      </c>
      <c r="E203" s="5">
        <v>1</v>
      </c>
      <c r="F203" s="5"/>
      <c r="G203" s="5"/>
      <c r="H203" s="5"/>
      <c r="I203" s="6">
        <f t="shared" si="3"/>
        <v>1</v>
      </c>
      <c r="J203" s="7" t="s">
        <v>147</v>
      </c>
      <c r="K203" s="14" t="s">
        <v>372</v>
      </c>
      <c r="L203" s="14" t="s">
        <v>600</v>
      </c>
      <c r="M203" s="10">
        <v>0</v>
      </c>
      <c r="N203" s="5"/>
      <c r="O203" s="10"/>
    </row>
    <row r="204" spans="1:15" ht="43.2" x14ac:dyDescent="0.3">
      <c r="A204" s="10" t="s">
        <v>251</v>
      </c>
      <c r="B204" s="10" t="s">
        <v>87</v>
      </c>
      <c r="C204" s="5">
        <v>1951</v>
      </c>
      <c r="D204" s="5">
        <v>1956</v>
      </c>
      <c r="E204" s="5">
        <v>187</v>
      </c>
      <c r="F204" s="5"/>
      <c r="G204" s="5"/>
      <c r="H204" s="5"/>
      <c r="I204" s="6">
        <f t="shared" si="3"/>
        <v>187</v>
      </c>
      <c r="J204" s="7" t="s">
        <v>551</v>
      </c>
      <c r="K204" s="14" t="s">
        <v>403</v>
      </c>
      <c r="L204" s="14" t="s">
        <v>600</v>
      </c>
      <c r="M204" s="10">
        <v>0</v>
      </c>
      <c r="N204" s="5"/>
      <c r="O204" s="10"/>
    </row>
    <row r="205" spans="1:15" ht="43.2" x14ac:dyDescent="0.3">
      <c r="A205" s="10" t="s">
        <v>252</v>
      </c>
      <c r="B205" s="10" t="s">
        <v>87</v>
      </c>
      <c r="C205" s="5">
        <v>1955</v>
      </c>
      <c r="D205" s="5">
        <v>1970</v>
      </c>
      <c r="E205" s="5">
        <v>180</v>
      </c>
      <c r="F205" s="5"/>
      <c r="G205" s="5"/>
      <c r="H205" s="5"/>
      <c r="I205" s="6">
        <f t="shared" si="3"/>
        <v>180</v>
      </c>
      <c r="J205" s="7" t="s">
        <v>552</v>
      </c>
      <c r="K205" s="14" t="s">
        <v>403</v>
      </c>
      <c r="L205" s="14" t="s">
        <v>600</v>
      </c>
      <c r="M205" s="10">
        <v>0</v>
      </c>
      <c r="N205" s="5"/>
      <c r="O205" s="10"/>
    </row>
    <row r="206" spans="1:15" ht="28.8" x14ac:dyDescent="0.3">
      <c r="A206" s="10" t="s">
        <v>253</v>
      </c>
      <c r="B206" s="10" t="s">
        <v>87</v>
      </c>
      <c r="C206" s="5">
        <v>1955</v>
      </c>
      <c r="D206" s="5">
        <v>1963</v>
      </c>
      <c r="E206" s="5">
        <v>24</v>
      </c>
      <c r="F206" s="5"/>
      <c r="G206" s="5"/>
      <c r="H206" s="5"/>
      <c r="I206" s="6">
        <f t="shared" si="3"/>
        <v>24</v>
      </c>
      <c r="J206" s="7" t="s">
        <v>553</v>
      </c>
      <c r="K206" s="14" t="s">
        <v>403</v>
      </c>
      <c r="L206" s="14" t="s">
        <v>600</v>
      </c>
      <c r="M206" s="10">
        <v>0</v>
      </c>
      <c r="N206" s="5"/>
      <c r="O206" s="10"/>
    </row>
    <row r="207" spans="1:15" ht="28.8" x14ac:dyDescent="0.3">
      <c r="A207" s="10" t="s">
        <v>254</v>
      </c>
      <c r="B207" s="10" t="s">
        <v>6</v>
      </c>
      <c r="C207" s="5">
        <v>1915</v>
      </c>
      <c r="D207" s="5">
        <v>1918</v>
      </c>
      <c r="E207" s="5">
        <v>1</v>
      </c>
      <c r="F207" s="5"/>
      <c r="G207" s="5"/>
      <c r="H207" s="5"/>
      <c r="I207" s="6">
        <f t="shared" si="3"/>
        <v>1</v>
      </c>
      <c r="J207" s="7" t="s">
        <v>147</v>
      </c>
      <c r="K207" s="14" t="s">
        <v>554</v>
      </c>
      <c r="L207" s="14" t="s">
        <v>600</v>
      </c>
      <c r="M207" s="10">
        <v>0</v>
      </c>
      <c r="N207" s="5"/>
      <c r="O207" s="10"/>
    </row>
    <row r="208" spans="1:15" x14ac:dyDescent="0.3">
      <c r="A208" s="10" t="s">
        <v>255</v>
      </c>
      <c r="B208" s="10" t="s">
        <v>6</v>
      </c>
      <c r="C208" s="5">
        <v>1917</v>
      </c>
      <c r="D208" s="5">
        <v>1919</v>
      </c>
      <c r="E208" s="5">
        <v>3</v>
      </c>
      <c r="F208" s="5"/>
      <c r="G208" s="5"/>
      <c r="H208" s="5"/>
      <c r="I208" s="6">
        <f t="shared" si="3"/>
        <v>3</v>
      </c>
      <c r="J208" s="7" t="s">
        <v>555</v>
      </c>
      <c r="K208" s="14" t="s">
        <v>413</v>
      </c>
      <c r="L208" s="14" t="s">
        <v>600</v>
      </c>
      <c r="M208" s="10">
        <v>0</v>
      </c>
      <c r="N208" s="5"/>
      <c r="O208" s="10"/>
    </row>
    <row r="209" spans="1:15" x14ac:dyDescent="0.3">
      <c r="A209" s="10" t="s">
        <v>557</v>
      </c>
      <c r="B209" s="10" t="s">
        <v>6</v>
      </c>
      <c r="C209" s="5">
        <v>1918</v>
      </c>
      <c r="D209" s="5">
        <v>1918</v>
      </c>
      <c r="E209" s="5">
        <v>1</v>
      </c>
      <c r="F209" s="5"/>
      <c r="G209" s="5"/>
      <c r="H209" s="5"/>
      <c r="I209" s="6">
        <f t="shared" si="3"/>
        <v>1</v>
      </c>
      <c r="J209" s="7" t="s">
        <v>558</v>
      </c>
      <c r="K209" s="14" t="s">
        <v>372</v>
      </c>
      <c r="L209" s="14" t="s">
        <v>600</v>
      </c>
      <c r="M209" s="10">
        <v>0</v>
      </c>
      <c r="N209" s="5"/>
      <c r="O209" s="10"/>
    </row>
    <row r="210" spans="1:15" x14ac:dyDescent="0.3">
      <c r="A210" s="10" t="s">
        <v>256</v>
      </c>
      <c r="B210" s="10" t="s">
        <v>8</v>
      </c>
      <c r="C210" s="5">
        <v>1917</v>
      </c>
      <c r="D210" s="5">
        <v>1919</v>
      </c>
      <c r="E210" s="5"/>
      <c r="F210" s="5">
        <v>1</v>
      </c>
      <c r="G210" s="5"/>
      <c r="H210" s="5"/>
      <c r="I210" s="6">
        <f t="shared" si="3"/>
        <v>1</v>
      </c>
      <c r="J210" s="7" t="s">
        <v>556</v>
      </c>
      <c r="K210" s="14" t="s">
        <v>372</v>
      </c>
      <c r="L210" s="14" t="s">
        <v>602</v>
      </c>
      <c r="M210" s="10">
        <v>0</v>
      </c>
      <c r="N210" s="5"/>
      <c r="O210" s="10"/>
    </row>
    <row r="211" spans="1:15" ht="28.8" x14ac:dyDescent="0.3">
      <c r="A211" s="10" t="s">
        <v>257</v>
      </c>
      <c r="B211" s="10" t="s">
        <v>6</v>
      </c>
      <c r="C211" s="5">
        <v>1918</v>
      </c>
      <c r="D211" s="5">
        <v>1925</v>
      </c>
      <c r="E211" s="5">
        <v>40</v>
      </c>
      <c r="F211" s="5"/>
      <c r="G211" s="5"/>
      <c r="H211" s="5"/>
      <c r="I211" s="6">
        <f t="shared" si="3"/>
        <v>40</v>
      </c>
      <c r="J211" s="7" t="s">
        <v>559</v>
      </c>
      <c r="K211" s="14" t="s">
        <v>403</v>
      </c>
      <c r="L211" s="14" t="s">
        <v>600</v>
      </c>
      <c r="M211" s="10">
        <v>0</v>
      </c>
      <c r="N211" s="5"/>
      <c r="O211" s="10"/>
    </row>
    <row r="212" spans="1:15" ht="57.6" x14ac:dyDescent="0.3">
      <c r="A212" s="10" t="s">
        <v>258</v>
      </c>
      <c r="B212" s="10" t="s">
        <v>81</v>
      </c>
      <c r="C212" s="5">
        <v>1940</v>
      </c>
      <c r="D212" s="5">
        <v>1942</v>
      </c>
      <c r="E212" s="5"/>
      <c r="F212" s="5">
        <v>48</v>
      </c>
      <c r="G212" s="5">
        <v>50</v>
      </c>
      <c r="H212" s="5">
        <v>10</v>
      </c>
      <c r="I212" s="6">
        <f t="shared" si="3"/>
        <v>108</v>
      </c>
      <c r="J212" s="7" t="s">
        <v>561</v>
      </c>
      <c r="K212" s="14" t="s">
        <v>560</v>
      </c>
      <c r="L212" s="14" t="s">
        <v>605</v>
      </c>
      <c r="M212" s="10"/>
      <c r="N212" s="5"/>
      <c r="O212" s="10"/>
    </row>
    <row r="213" spans="1:15" ht="28.8" x14ac:dyDescent="0.3">
      <c r="A213" s="10" t="s">
        <v>323</v>
      </c>
      <c r="B213" s="10" t="s">
        <v>324</v>
      </c>
      <c r="C213" s="5">
        <v>1950</v>
      </c>
      <c r="D213" s="5">
        <v>1979</v>
      </c>
      <c r="E213" s="5"/>
      <c r="F213" s="5"/>
      <c r="G213" s="5"/>
      <c r="H213" s="5">
        <v>23</v>
      </c>
      <c r="I213" s="6">
        <f t="shared" si="3"/>
        <v>23</v>
      </c>
      <c r="J213" s="7" t="s">
        <v>562</v>
      </c>
      <c r="K213" s="14" t="s">
        <v>413</v>
      </c>
      <c r="L213" s="14" t="s">
        <v>600</v>
      </c>
      <c r="M213" s="10">
        <v>0</v>
      </c>
      <c r="N213" s="5"/>
      <c r="O213" s="10"/>
    </row>
    <row r="214" spans="1:15" ht="28.8" x14ac:dyDescent="0.3">
      <c r="A214" s="10" t="s">
        <v>259</v>
      </c>
      <c r="B214" s="10" t="s">
        <v>87</v>
      </c>
      <c r="C214" s="5">
        <v>1999</v>
      </c>
      <c r="D214" s="5">
        <v>2011</v>
      </c>
      <c r="E214" s="5">
        <v>33</v>
      </c>
      <c r="F214" s="5"/>
      <c r="G214" s="5"/>
      <c r="H214" s="5"/>
      <c r="I214" s="6">
        <f t="shared" si="3"/>
        <v>33</v>
      </c>
      <c r="J214" s="7" t="s">
        <v>260</v>
      </c>
      <c r="K214" s="14" t="s">
        <v>564</v>
      </c>
      <c r="L214" s="14" t="s">
        <v>604</v>
      </c>
      <c r="M214" s="10"/>
      <c r="N214" s="5"/>
      <c r="O214" s="10"/>
    </row>
    <row r="215" spans="1:15" x14ac:dyDescent="0.3">
      <c r="A215" s="10" t="s">
        <v>261</v>
      </c>
      <c r="B215" s="10" t="s">
        <v>8</v>
      </c>
      <c r="C215" s="5">
        <v>1995</v>
      </c>
      <c r="D215" s="5">
        <v>2005</v>
      </c>
      <c r="E215" s="5"/>
      <c r="F215" s="5">
        <v>1</v>
      </c>
      <c r="G215" s="5"/>
      <c r="H215" s="5"/>
      <c r="I215" s="6">
        <f t="shared" si="3"/>
        <v>1</v>
      </c>
      <c r="J215" s="7" t="s">
        <v>262</v>
      </c>
      <c r="K215" s="14" t="s">
        <v>372</v>
      </c>
      <c r="L215" s="14" t="s">
        <v>601</v>
      </c>
      <c r="M215" s="10">
        <v>0</v>
      </c>
      <c r="N215" s="5"/>
      <c r="O215" s="10"/>
    </row>
    <row r="216" spans="1:15" x14ac:dyDescent="0.3">
      <c r="A216" s="10" t="s">
        <v>263</v>
      </c>
      <c r="B216" s="10" t="s">
        <v>8</v>
      </c>
      <c r="C216" s="5">
        <v>1917</v>
      </c>
      <c r="D216" s="5">
        <v>1920</v>
      </c>
      <c r="E216" s="5"/>
      <c r="F216" s="5">
        <v>1</v>
      </c>
      <c r="G216" s="5"/>
      <c r="H216" s="5"/>
      <c r="I216" s="6">
        <f t="shared" si="3"/>
        <v>1</v>
      </c>
      <c r="J216" s="7" t="s">
        <v>565</v>
      </c>
      <c r="K216" s="14" t="s">
        <v>372</v>
      </c>
      <c r="L216" s="14" t="s">
        <v>602</v>
      </c>
      <c r="M216" s="10">
        <v>0</v>
      </c>
      <c r="N216" s="5"/>
      <c r="O216" s="10"/>
    </row>
    <row r="217" spans="1:15" x14ac:dyDescent="0.3">
      <c r="A217" s="10" t="s">
        <v>264</v>
      </c>
      <c r="B217" s="10" t="s">
        <v>8</v>
      </c>
      <c r="C217" s="5">
        <v>1947</v>
      </c>
      <c r="D217" s="5">
        <v>1959</v>
      </c>
      <c r="E217" s="5"/>
      <c r="F217" s="5">
        <v>1</v>
      </c>
      <c r="G217" s="5"/>
      <c r="H217" s="5"/>
      <c r="I217" s="6">
        <f t="shared" si="3"/>
        <v>1</v>
      </c>
      <c r="J217" s="7" t="s">
        <v>566</v>
      </c>
      <c r="K217" s="14" t="s">
        <v>372</v>
      </c>
      <c r="L217" s="14" t="s">
        <v>601</v>
      </c>
      <c r="M217" s="10">
        <v>0</v>
      </c>
      <c r="N217" s="5"/>
      <c r="O217" s="10"/>
    </row>
    <row r="218" spans="1:15" x14ac:dyDescent="0.3">
      <c r="A218" s="10" t="s">
        <v>265</v>
      </c>
      <c r="B218" s="10" t="s">
        <v>8</v>
      </c>
      <c r="C218" s="5">
        <v>1953</v>
      </c>
      <c r="D218" s="5">
        <v>1963</v>
      </c>
      <c r="E218" s="5"/>
      <c r="F218" s="5">
        <v>3</v>
      </c>
      <c r="G218" s="5"/>
      <c r="H218" s="5"/>
      <c r="I218" s="6">
        <f t="shared" si="3"/>
        <v>3</v>
      </c>
      <c r="J218" s="7" t="s">
        <v>567</v>
      </c>
      <c r="K218" s="14" t="s">
        <v>413</v>
      </c>
      <c r="L218" s="14" t="s">
        <v>601</v>
      </c>
      <c r="M218" s="10">
        <v>0</v>
      </c>
      <c r="N218" s="5"/>
      <c r="O218" s="10"/>
    </row>
    <row r="219" spans="1:15" s="41" customFormat="1" x14ac:dyDescent="0.3">
      <c r="A219" s="35" t="s">
        <v>266</v>
      </c>
      <c r="B219" s="35" t="s">
        <v>8</v>
      </c>
      <c r="C219" s="36">
        <v>1960</v>
      </c>
      <c r="D219" s="36">
        <v>1963</v>
      </c>
      <c r="E219" s="36"/>
      <c r="F219" s="36">
        <v>12</v>
      </c>
      <c r="G219" s="36"/>
      <c r="H219" s="36"/>
      <c r="I219" s="42">
        <f t="shared" si="3"/>
        <v>12</v>
      </c>
      <c r="J219" s="39" t="s">
        <v>267</v>
      </c>
      <c r="K219" s="40" t="s">
        <v>568</v>
      </c>
      <c r="L219" s="40" t="s">
        <v>601</v>
      </c>
      <c r="M219" s="35">
        <v>3</v>
      </c>
      <c r="N219" s="36"/>
      <c r="O219" s="35"/>
    </row>
    <row r="220" spans="1:15" x14ac:dyDescent="0.3">
      <c r="A220" s="10" t="s">
        <v>346</v>
      </c>
      <c r="B220" s="10" t="s">
        <v>342</v>
      </c>
      <c r="C220" s="5">
        <v>1990</v>
      </c>
      <c r="D220" s="5">
        <v>2002</v>
      </c>
      <c r="E220" s="5"/>
      <c r="F220" s="5"/>
      <c r="G220" s="5"/>
      <c r="H220" s="5">
        <v>9</v>
      </c>
      <c r="I220" s="6">
        <f t="shared" si="3"/>
        <v>9</v>
      </c>
      <c r="J220" s="7" t="s">
        <v>569</v>
      </c>
      <c r="K220" s="14" t="s">
        <v>413</v>
      </c>
      <c r="L220" s="14" t="s">
        <v>600</v>
      </c>
      <c r="M220" s="10">
        <v>0</v>
      </c>
      <c r="N220" s="5"/>
      <c r="O220" s="10"/>
    </row>
    <row r="221" spans="1:15" x14ac:dyDescent="0.3">
      <c r="A221" s="10" t="s">
        <v>572</v>
      </c>
      <c r="B221" s="10" t="s">
        <v>8</v>
      </c>
      <c r="C221" s="5">
        <v>1916</v>
      </c>
      <c r="D221" s="5">
        <v>1919</v>
      </c>
      <c r="E221" s="5"/>
      <c r="F221" s="5">
        <v>1</v>
      </c>
      <c r="G221" s="5"/>
      <c r="H221" s="5"/>
      <c r="I221" s="6">
        <f t="shared" si="3"/>
        <v>1</v>
      </c>
      <c r="J221" s="7" t="s">
        <v>147</v>
      </c>
      <c r="K221" s="14" t="s">
        <v>372</v>
      </c>
      <c r="L221" s="14" t="s">
        <v>602</v>
      </c>
      <c r="M221" s="10">
        <v>0</v>
      </c>
      <c r="N221" s="5"/>
      <c r="O221" s="10"/>
    </row>
    <row r="222" spans="1:15" x14ac:dyDescent="0.3">
      <c r="A222" s="10" t="s">
        <v>268</v>
      </c>
      <c r="B222" s="10" t="s">
        <v>6</v>
      </c>
      <c r="C222" s="5">
        <v>1917</v>
      </c>
      <c r="D222" s="5">
        <v>1920</v>
      </c>
      <c r="E222" s="5">
        <v>1</v>
      </c>
      <c r="F222" s="5"/>
      <c r="G222" s="5"/>
      <c r="H222" s="5"/>
      <c r="I222" s="6">
        <f t="shared" si="3"/>
        <v>1</v>
      </c>
      <c r="J222" s="7" t="s">
        <v>147</v>
      </c>
      <c r="K222" s="14" t="s">
        <v>372</v>
      </c>
      <c r="L222" s="14" t="s">
        <v>600</v>
      </c>
      <c r="M222" s="10">
        <v>0</v>
      </c>
      <c r="N222" s="5"/>
      <c r="O222" s="10"/>
    </row>
    <row r="223" spans="1:15" x14ac:dyDescent="0.3">
      <c r="A223" s="10" t="s">
        <v>269</v>
      </c>
      <c r="B223" s="10" t="s">
        <v>6</v>
      </c>
      <c r="C223" s="5">
        <v>1916</v>
      </c>
      <c r="D223" s="5">
        <v>1919</v>
      </c>
      <c r="E223" s="5">
        <v>5</v>
      </c>
      <c r="F223" s="5"/>
      <c r="G223" s="5"/>
      <c r="H223" s="5"/>
      <c r="I223" s="6">
        <f t="shared" si="3"/>
        <v>5</v>
      </c>
      <c r="J223" s="7" t="s">
        <v>147</v>
      </c>
      <c r="K223" s="14" t="s">
        <v>413</v>
      </c>
      <c r="L223" s="14" t="s">
        <v>600</v>
      </c>
      <c r="M223" s="10">
        <v>0</v>
      </c>
      <c r="N223" s="5"/>
      <c r="O223" s="10"/>
    </row>
    <row r="224" spans="1:15" x14ac:dyDescent="0.3">
      <c r="A224" s="10" t="s">
        <v>270</v>
      </c>
      <c r="B224" s="10" t="s">
        <v>6</v>
      </c>
      <c r="C224" s="5">
        <v>1917</v>
      </c>
      <c r="D224" s="5">
        <v>1919</v>
      </c>
      <c r="E224" s="5">
        <v>2</v>
      </c>
      <c r="F224" s="5"/>
      <c r="G224" s="5"/>
      <c r="H224" s="5"/>
      <c r="I224" s="6">
        <f t="shared" si="3"/>
        <v>2</v>
      </c>
      <c r="J224" s="7" t="s">
        <v>573</v>
      </c>
      <c r="K224" s="14" t="s">
        <v>413</v>
      </c>
      <c r="L224" s="14" t="s">
        <v>600</v>
      </c>
      <c r="M224" s="10">
        <v>0</v>
      </c>
      <c r="N224" s="5"/>
      <c r="O224" s="10"/>
    </row>
    <row r="225" spans="1:15" x14ac:dyDescent="0.3">
      <c r="A225" s="10" t="s">
        <v>271</v>
      </c>
      <c r="B225" s="10" t="s">
        <v>8</v>
      </c>
      <c r="C225" s="5">
        <v>1918</v>
      </c>
      <c r="D225" s="5">
        <v>1920</v>
      </c>
      <c r="E225" s="5"/>
      <c r="F225" s="5">
        <v>1</v>
      </c>
      <c r="G225" s="5"/>
      <c r="H225" s="5"/>
      <c r="I225" s="6">
        <f t="shared" si="3"/>
        <v>1</v>
      </c>
      <c r="J225" s="7" t="s">
        <v>574</v>
      </c>
      <c r="K225" s="14" t="s">
        <v>372</v>
      </c>
      <c r="L225" s="14" t="s">
        <v>600</v>
      </c>
      <c r="M225" s="10">
        <v>0</v>
      </c>
      <c r="N225" s="5"/>
      <c r="O225" s="10"/>
    </row>
    <row r="226" spans="1:15" x14ac:dyDescent="0.3">
      <c r="A226" s="10" t="s">
        <v>272</v>
      </c>
      <c r="B226" s="10" t="s">
        <v>113</v>
      </c>
      <c r="C226" s="5">
        <v>1918</v>
      </c>
      <c r="D226" s="5">
        <v>1925</v>
      </c>
      <c r="E226" s="5">
        <v>58</v>
      </c>
      <c r="F226" s="5">
        <v>20</v>
      </c>
      <c r="G226" s="5"/>
      <c r="H226" s="5"/>
      <c r="I226" s="6">
        <f t="shared" si="3"/>
        <v>78</v>
      </c>
      <c r="J226" s="7" t="s">
        <v>575</v>
      </c>
      <c r="K226" s="14" t="s">
        <v>413</v>
      </c>
      <c r="L226" s="14" t="s">
        <v>600</v>
      </c>
      <c r="M226" s="10">
        <v>0</v>
      </c>
      <c r="N226" s="5"/>
      <c r="O226" s="10"/>
    </row>
    <row r="227" spans="1:15" x14ac:dyDescent="0.3">
      <c r="A227" s="10" t="s">
        <v>273</v>
      </c>
      <c r="B227" s="10" t="s">
        <v>87</v>
      </c>
      <c r="C227" s="5">
        <v>1959</v>
      </c>
      <c r="D227" s="5">
        <v>1966</v>
      </c>
      <c r="E227" s="5">
        <v>8</v>
      </c>
      <c r="F227" s="5"/>
      <c r="G227" s="5"/>
      <c r="H227" s="5"/>
      <c r="I227" s="6">
        <f t="shared" si="3"/>
        <v>8</v>
      </c>
      <c r="J227" s="7" t="s">
        <v>576</v>
      </c>
      <c r="K227" s="14" t="s">
        <v>413</v>
      </c>
      <c r="L227" s="14" t="s">
        <v>601</v>
      </c>
      <c r="M227" s="10">
        <v>0</v>
      </c>
      <c r="N227" s="5"/>
      <c r="O227" s="10"/>
    </row>
    <row r="228" spans="1:15" ht="43.2" x14ac:dyDescent="0.3">
      <c r="A228" s="10" t="s">
        <v>274</v>
      </c>
      <c r="B228" s="10" t="s">
        <v>87</v>
      </c>
      <c r="C228" s="5">
        <v>1964</v>
      </c>
      <c r="D228" s="5">
        <v>2015</v>
      </c>
      <c r="E228" s="5">
        <v>77</v>
      </c>
      <c r="F228" s="5"/>
      <c r="G228" s="5"/>
      <c r="H228" s="5"/>
      <c r="I228" s="6">
        <f t="shared" si="3"/>
        <v>77</v>
      </c>
      <c r="J228" s="7" t="s">
        <v>577</v>
      </c>
      <c r="K228" s="14" t="s">
        <v>413</v>
      </c>
      <c r="L228" s="14" t="s">
        <v>601</v>
      </c>
      <c r="M228" s="10">
        <v>0</v>
      </c>
      <c r="N228" s="5"/>
      <c r="O228" s="10"/>
    </row>
    <row r="229" spans="1:15" x14ac:dyDescent="0.3">
      <c r="A229" s="10" t="s">
        <v>314</v>
      </c>
      <c r="B229" s="10" t="s">
        <v>486</v>
      </c>
      <c r="C229" s="5">
        <v>1977</v>
      </c>
      <c r="D229" s="5">
        <v>1988</v>
      </c>
      <c r="E229" s="5">
        <v>1</v>
      </c>
      <c r="F229" s="5"/>
      <c r="G229" s="5"/>
      <c r="H229" s="5"/>
      <c r="I229" s="6">
        <f t="shared" si="3"/>
        <v>1</v>
      </c>
      <c r="J229" s="7" t="s">
        <v>315</v>
      </c>
      <c r="K229" s="14" t="s">
        <v>372</v>
      </c>
      <c r="L229" s="14" t="s">
        <v>601</v>
      </c>
      <c r="M229" s="10">
        <v>0</v>
      </c>
      <c r="N229" s="5"/>
      <c r="O229" s="10"/>
    </row>
    <row r="230" spans="1:15" s="41" customFormat="1" ht="86.4" x14ac:dyDescent="0.3">
      <c r="A230" s="35" t="s">
        <v>275</v>
      </c>
      <c r="B230" s="35" t="s">
        <v>276</v>
      </c>
      <c r="C230" s="36">
        <v>1943</v>
      </c>
      <c r="D230" s="36">
        <v>1954</v>
      </c>
      <c r="E230" s="36">
        <v>310</v>
      </c>
      <c r="F230" s="36"/>
      <c r="G230" s="36"/>
      <c r="H230" s="36">
        <v>116</v>
      </c>
      <c r="I230" s="42">
        <f t="shared" si="3"/>
        <v>426</v>
      </c>
      <c r="J230" s="39" t="s">
        <v>395</v>
      </c>
      <c r="K230" s="40"/>
      <c r="L230" s="40" t="s">
        <v>600</v>
      </c>
      <c r="M230" s="35">
        <v>52</v>
      </c>
      <c r="N230" s="36"/>
      <c r="O230" s="35"/>
    </row>
    <row r="231" spans="1:15" ht="28.8" x14ac:dyDescent="0.3">
      <c r="A231" s="10" t="s">
        <v>277</v>
      </c>
      <c r="B231" s="10" t="s">
        <v>41</v>
      </c>
      <c r="C231" s="5">
        <v>1945</v>
      </c>
      <c r="D231" s="5">
        <v>1946</v>
      </c>
      <c r="E231" s="5"/>
      <c r="F231" s="5"/>
      <c r="G231" s="5">
        <v>10</v>
      </c>
      <c r="H231" s="5"/>
      <c r="I231" s="6">
        <f t="shared" si="3"/>
        <v>10</v>
      </c>
      <c r="J231" s="7" t="s">
        <v>578</v>
      </c>
      <c r="K231" s="14" t="s">
        <v>403</v>
      </c>
      <c r="L231" s="14" t="s">
        <v>600</v>
      </c>
      <c r="M231" s="10">
        <v>0</v>
      </c>
      <c r="N231" s="5"/>
      <c r="O231" s="10"/>
    </row>
    <row r="232" spans="1:15" ht="28.8" x14ac:dyDescent="0.3">
      <c r="A232" s="10" t="s">
        <v>278</v>
      </c>
      <c r="B232" s="10" t="s">
        <v>41</v>
      </c>
      <c r="C232" s="5">
        <v>1944</v>
      </c>
      <c r="D232" s="5">
        <v>1950</v>
      </c>
      <c r="E232" s="5"/>
      <c r="F232" s="5"/>
      <c r="G232" s="5">
        <v>2</v>
      </c>
      <c r="H232" s="5"/>
      <c r="I232" s="6">
        <f t="shared" si="3"/>
        <v>2</v>
      </c>
      <c r="J232" s="7" t="s">
        <v>582</v>
      </c>
      <c r="K232" s="14" t="s">
        <v>583</v>
      </c>
      <c r="L232" s="14" t="s">
        <v>600</v>
      </c>
      <c r="M232" s="10">
        <v>0</v>
      </c>
      <c r="N232" s="5"/>
      <c r="O232" s="10"/>
    </row>
    <row r="233" spans="1:15" x14ac:dyDescent="0.3">
      <c r="A233" s="10" t="s">
        <v>279</v>
      </c>
      <c r="B233" s="10" t="s">
        <v>8</v>
      </c>
      <c r="C233" s="5">
        <v>1917</v>
      </c>
      <c r="D233" s="5">
        <v>1920</v>
      </c>
      <c r="E233" s="5"/>
      <c r="F233" s="5">
        <v>15</v>
      </c>
      <c r="G233" s="5"/>
      <c r="H233" s="5"/>
      <c r="I233" s="6">
        <f t="shared" si="3"/>
        <v>15</v>
      </c>
      <c r="J233" s="7" t="s">
        <v>280</v>
      </c>
      <c r="K233" s="14" t="s">
        <v>413</v>
      </c>
      <c r="L233" s="14" t="s">
        <v>600</v>
      </c>
      <c r="M233" s="10">
        <v>0</v>
      </c>
      <c r="N233" s="5"/>
      <c r="O233" s="10"/>
    </row>
    <row r="234" spans="1:15" x14ac:dyDescent="0.3">
      <c r="A234" s="10" t="s">
        <v>281</v>
      </c>
      <c r="B234" s="10" t="s">
        <v>8</v>
      </c>
      <c r="C234" s="5">
        <v>1917</v>
      </c>
      <c r="D234" s="5">
        <v>1923</v>
      </c>
      <c r="E234" s="5"/>
      <c r="F234" s="5">
        <v>10</v>
      </c>
      <c r="G234" s="5"/>
      <c r="H234" s="5"/>
      <c r="I234" s="6">
        <f t="shared" si="3"/>
        <v>10</v>
      </c>
      <c r="J234" s="7" t="s">
        <v>581</v>
      </c>
      <c r="K234" s="14" t="s">
        <v>413</v>
      </c>
      <c r="L234" s="14" t="s">
        <v>600</v>
      </c>
      <c r="M234" s="10">
        <v>0</v>
      </c>
      <c r="N234" s="5"/>
      <c r="O234" s="10"/>
    </row>
    <row r="235" spans="1:15" x14ac:dyDescent="0.3">
      <c r="A235" s="10" t="s">
        <v>283</v>
      </c>
      <c r="B235" s="10" t="s">
        <v>8</v>
      </c>
      <c r="C235" s="5">
        <v>1949</v>
      </c>
      <c r="D235" s="5">
        <v>1953</v>
      </c>
      <c r="E235" s="5"/>
      <c r="F235" s="5">
        <v>11</v>
      </c>
      <c r="G235" s="5"/>
      <c r="H235" s="5"/>
      <c r="I235" s="6">
        <f t="shared" si="3"/>
        <v>11</v>
      </c>
      <c r="J235" s="7" t="s">
        <v>584</v>
      </c>
      <c r="K235" s="14" t="s">
        <v>413</v>
      </c>
      <c r="L235" s="14" t="s">
        <v>603</v>
      </c>
      <c r="M235" s="10">
        <v>0</v>
      </c>
      <c r="N235" s="5"/>
      <c r="O235" s="10"/>
    </row>
    <row r="236" spans="1:15" x14ac:dyDescent="0.3">
      <c r="A236" s="10" t="s">
        <v>282</v>
      </c>
      <c r="B236" s="10" t="s">
        <v>41</v>
      </c>
      <c r="C236" s="5">
        <v>1922</v>
      </c>
      <c r="D236" s="5">
        <v>1925</v>
      </c>
      <c r="E236" s="5"/>
      <c r="F236" s="5"/>
      <c r="G236" s="5">
        <v>10</v>
      </c>
      <c r="H236" s="5"/>
      <c r="I236" s="6">
        <f t="shared" si="3"/>
        <v>10</v>
      </c>
      <c r="J236" s="7" t="s">
        <v>585</v>
      </c>
      <c r="K236" s="14" t="s">
        <v>403</v>
      </c>
      <c r="L236" s="14" t="s">
        <v>603</v>
      </c>
      <c r="M236" s="10">
        <v>0</v>
      </c>
      <c r="N236" s="5"/>
      <c r="O236" s="10"/>
    </row>
    <row r="237" spans="1:15" x14ac:dyDescent="0.3">
      <c r="A237" s="10" t="s">
        <v>284</v>
      </c>
      <c r="B237" s="10" t="s">
        <v>6</v>
      </c>
      <c r="C237" s="5">
        <v>1915</v>
      </c>
      <c r="D237" s="5">
        <v>1917</v>
      </c>
      <c r="E237" s="5">
        <v>1</v>
      </c>
      <c r="F237" s="5"/>
      <c r="G237" s="5"/>
      <c r="H237" s="5"/>
      <c r="I237" s="6">
        <f t="shared" si="3"/>
        <v>1</v>
      </c>
      <c r="J237" s="7" t="s">
        <v>147</v>
      </c>
      <c r="K237" s="14"/>
      <c r="L237" s="14" t="s">
        <v>600</v>
      </c>
      <c r="M237" s="10">
        <v>0</v>
      </c>
      <c r="N237" s="5"/>
      <c r="O237" s="10"/>
    </row>
    <row r="238" spans="1:15" ht="28.8" x14ac:dyDescent="0.3">
      <c r="A238" s="10" t="s">
        <v>285</v>
      </c>
      <c r="B238" s="10" t="s">
        <v>8</v>
      </c>
      <c r="C238" s="5">
        <v>1942</v>
      </c>
      <c r="D238" s="5">
        <v>1942</v>
      </c>
      <c r="E238" s="5"/>
      <c r="F238" s="5">
        <v>24</v>
      </c>
      <c r="G238" s="5"/>
      <c r="H238" s="5"/>
      <c r="I238" s="6">
        <f t="shared" si="3"/>
        <v>24</v>
      </c>
      <c r="J238" s="7" t="s">
        <v>286</v>
      </c>
      <c r="K238" s="14" t="s">
        <v>413</v>
      </c>
      <c r="L238" s="14" t="s">
        <v>602</v>
      </c>
      <c r="M238" s="10">
        <v>0</v>
      </c>
      <c r="N238" s="5"/>
      <c r="O238" s="10"/>
    </row>
    <row r="239" spans="1:15" x14ac:dyDescent="0.3">
      <c r="A239" s="10" t="s">
        <v>570</v>
      </c>
      <c r="B239" s="10" t="s">
        <v>6</v>
      </c>
      <c r="C239" s="5">
        <v>1919</v>
      </c>
      <c r="D239" s="5">
        <v>1921</v>
      </c>
      <c r="E239" s="5">
        <v>1</v>
      </c>
      <c r="F239" s="5"/>
      <c r="G239" s="5"/>
      <c r="H239" s="5"/>
      <c r="I239" s="6">
        <f t="shared" si="3"/>
        <v>1</v>
      </c>
      <c r="J239" s="7" t="s">
        <v>571</v>
      </c>
      <c r="K239" s="14" t="s">
        <v>372</v>
      </c>
      <c r="L239" s="14" t="s">
        <v>600</v>
      </c>
      <c r="M239" s="10">
        <v>0</v>
      </c>
      <c r="N239" s="5"/>
      <c r="O239" s="10"/>
    </row>
    <row r="240" spans="1:15" ht="43.2" x14ac:dyDescent="0.3">
      <c r="A240" s="10" t="s">
        <v>287</v>
      </c>
      <c r="B240" s="10" t="s">
        <v>180</v>
      </c>
      <c r="C240" s="5">
        <v>1942</v>
      </c>
      <c r="D240" s="5">
        <v>1943</v>
      </c>
      <c r="E240" s="5"/>
      <c r="F240" s="5"/>
      <c r="G240" s="5"/>
      <c r="H240" s="5">
        <v>60</v>
      </c>
      <c r="I240" s="6">
        <f t="shared" si="3"/>
        <v>60</v>
      </c>
      <c r="J240" s="7" t="s">
        <v>587</v>
      </c>
      <c r="K240" s="14" t="s">
        <v>586</v>
      </c>
      <c r="L240" s="14" t="s">
        <v>600</v>
      </c>
      <c r="M240" s="10">
        <v>0</v>
      </c>
      <c r="N240" s="5"/>
      <c r="O240" s="10"/>
    </row>
    <row r="241" spans="1:15" x14ac:dyDescent="0.3">
      <c r="A241" s="10" t="s">
        <v>288</v>
      </c>
      <c r="B241" s="10" t="s">
        <v>41</v>
      </c>
      <c r="C241" s="5">
        <v>1941</v>
      </c>
      <c r="D241" s="5">
        <v>1942</v>
      </c>
      <c r="E241" s="5"/>
      <c r="F241" s="5"/>
      <c r="G241" s="5">
        <v>1</v>
      </c>
      <c r="H241" s="5"/>
      <c r="I241" s="6">
        <f t="shared" si="3"/>
        <v>1</v>
      </c>
      <c r="J241" s="7" t="s">
        <v>289</v>
      </c>
      <c r="K241" s="14" t="s">
        <v>372</v>
      </c>
      <c r="L241" s="14" t="s">
        <v>600</v>
      </c>
      <c r="M241" s="10">
        <v>0</v>
      </c>
      <c r="N241" s="5"/>
      <c r="O241" s="10"/>
    </row>
    <row r="242" spans="1:15" x14ac:dyDescent="0.3">
      <c r="A242" s="10" t="s">
        <v>290</v>
      </c>
      <c r="B242" s="10" t="s">
        <v>41</v>
      </c>
      <c r="C242" s="5">
        <v>1941</v>
      </c>
      <c r="D242" s="5">
        <v>1942</v>
      </c>
      <c r="E242" s="5"/>
      <c r="F242" s="5"/>
      <c r="G242" s="5">
        <v>1</v>
      </c>
      <c r="H242" s="5"/>
      <c r="I242" s="6">
        <f t="shared" si="3"/>
        <v>1</v>
      </c>
      <c r="J242" s="7" t="s">
        <v>289</v>
      </c>
      <c r="K242" s="14" t="s">
        <v>372</v>
      </c>
      <c r="L242" s="14" t="s">
        <v>600</v>
      </c>
      <c r="M242" s="10">
        <v>0</v>
      </c>
      <c r="N242" s="5"/>
      <c r="O242" s="10"/>
    </row>
    <row r="243" spans="1:15" ht="28.8" x14ac:dyDescent="0.3">
      <c r="A243" s="10" t="s">
        <v>291</v>
      </c>
      <c r="B243" s="10" t="s">
        <v>8</v>
      </c>
      <c r="C243" s="5">
        <v>1976</v>
      </c>
      <c r="D243" s="5">
        <v>2012</v>
      </c>
      <c r="E243" s="5"/>
      <c r="F243" s="5">
        <v>24</v>
      </c>
      <c r="G243" s="5"/>
      <c r="H243" s="5"/>
      <c r="I243" s="6">
        <f t="shared" si="3"/>
        <v>24</v>
      </c>
      <c r="J243" s="7" t="s">
        <v>588</v>
      </c>
      <c r="K243" s="14" t="s">
        <v>403</v>
      </c>
      <c r="L243" s="14" t="s">
        <v>601</v>
      </c>
      <c r="M243" s="10">
        <v>0</v>
      </c>
      <c r="N243" s="5"/>
      <c r="O243" s="10"/>
    </row>
    <row r="244" spans="1:15" s="41" customFormat="1" ht="43.2" x14ac:dyDescent="0.3">
      <c r="A244" s="35" t="s">
        <v>292</v>
      </c>
      <c r="B244" s="35" t="s">
        <v>8</v>
      </c>
      <c r="C244" s="36">
        <v>1966</v>
      </c>
      <c r="D244" s="36">
        <v>1981</v>
      </c>
      <c r="E244" s="36"/>
      <c r="F244" s="36">
        <v>13</v>
      </c>
      <c r="G244" s="36"/>
      <c r="H244" s="36"/>
      <c r="I244" s="42">
        <f t="shared" si="3"/>
        <v>13</v>
      </c>
      <c r="J244" s="39" t="s">
        <v>589</v>
      </c>
      <c r="K244" s="40" t="s">
        <v>590</v>
      </c>
      <c r="L244" s="40" t="s">
        <v>601</v>
      </c>
      <c r="M244" s="35">
        <v>2</v>
      </c>
      <c r="N244" s="36"/>
      <c r="O244" s="35"/>
    </row>
    <row r="245" spans="1:15" x14ac:dyDescent="0.3">
      <c r="A245" s="10" t="s">
        <v>293</v>
      </c>
      <c r="B245" s="10" t="s">
        <v>8</v>
      </c>
      <c r="C245" s="5">
        <v>1915</v>
      </c>
      <c r="D245" s="5">
        <v>1920</v>
      </c>
      <c r="E245" s="5"/>
      <c r="F245" s="5">
        <v>1</v>
      </c>
      <c r="G245" s="5"/>
      <c r="H245" s="5"/>
      <c r="I245" s="6">
        <f t="shared" si="3"/>
        <v>1</v>
      </c>
      <c r="J245" s="7" t="s">
        <v>147</v>
      </c>
      <c r="K245" s="14" t="s">
        <v>372</v>
      </c>
      <c r="L245" s="14" t="s">
        <v>603</v>
      </c>
      <c r="M245" s="10">
        <v>0</v>
      </c>
      <c r="N245" s="5"/>
      <c r="O245" s="10"/>
    </row>
    <row r="246" spans="1:15" ht="43.2" x14ac:dyDescent="0.3">
      <c r="A246" s="10" t="s">
        <v>294</v>
      </c>
      <c r="B246" s="10" t="s">
        <v>41</v>
      </c>
      <c r="C246" s="5">
        <v>1945</v>
      </c>
      <c r="D246" s="5">
        <v>1946</v>
      </c>
      <c r="E246" s="5"/>
      <c r="F246" s="5"/>
      <c r="G246" s="5">
        <v>12</v>
      </c>
      <c r="H246" s="5"/>
      <c r="I246" s="6">
        <f t="shared" si="3"/>
        <v>12</v>
      </c>
      <c r="J246" s="7" t="s">
        <v>591</v>
      </c>
      <c r="K246" s="14" t="s">
        <v>447</v>
      </c>
      <c r="L246" s="14" t="s">
        <v>600</v>
      </c>
      <c r="M246" s="10">
        <v>0</v>
      </c>
      <c r="N246" s="5"/>
      <c r="O246" s="10"/>
    </row>
    <row r="247" spans="1:15" x14ac:dyDescent="0.3">
      <c r="A247" s="10"/>
      <c r="B247" s="10"/>
      <c r="C247" s="5"/>
      <c r="D247" s="5"/>
      <c r="E247" s="5"/>
      <c r="F247" s="5"/>
      <c r="G247" s="5"/>
      <c r="H247" s="5"/>
      <c r="I247" s="6"/>
      <c r="J247" s="7"/>
      <c r="K247" s="14"/>
      <c r="L247" s="14"/>
      <c r="M247" s="10"/>
      <c r="N247" s="5"/>
      <c r="O247" s="10"/>
    </row>
    <row r="248" spans="1:15" ht="28.8" x14ac:dyDescent="0.3">
      <c r="A248" s="10"/>
      <c r="B248" s="10"/>
      <c r="C248" s="5"/>
      <c r="D248" s="5"/>
      <c r="E248" s="5"/>
      <c r="F248" s="5"/>
      <c r="G248" s="5"/>
      <c r="H248" s="5"/>
      <c r="I248" s="12">
        <f>SUM(I3:I247)</f>
        <v>6739</v>
      </c>
      <c r="J248" s="4" t="s">
        <v>322</v>
      </c>
      <c r="K248" s="14"/>
      <c r="L248" s="14"/>
      <c r="M248" s="29">
        <f>SUM(M3:M247)</f>
        <v>270</v>
      </c>
      <c r="N248" s="28"/>
      <c r="O248" s="10"/>
    </row>
    <row r="249" spans="1:15" x14ac:dyDescent="0.3">
      <c r="A249" s="10"/>
      <c r="B249" s="10"/>
      <c r="C249" s="5"/>
      <c r="D249" s="5"/>
      <c r="E249" s="5"/>
      <c r="F249" s="5"/>
      <c r="G249" s="5"/>
      <c r="H249" s="5"/>
      <c r="I249" s="6"/>
      <c r="J249" s="7"/>
      <c r="K249" s="14"/>
      <c r="L249" s="14"/>
      <c r="M249" s="10"/>
      <c r="N249" s="5"/>
      <c r="O249" s="10"/>
    </row>
    <row r="250" spans="1:15" x14ac:dyDescent="0.3">
      <c r="A250" s="10"/>
      <c r="B250" s="10"/>
      <c r="C250" s="5"/>
      <c r="D250" s="5"/>
      <c r="E250" s="5"/>
      <c r="F250" s="5"/>
      <c r="G250" s="5"/>
      <c r="H250" s="5"/>
      <c r="I250" s="6"/>
      <c r="J250" s="7"/>
      <c r="K250" s="14"/>
      <c r="L250" s="14"/>
      <c r="M250" s="10"/>
      <c r="N250" s="5"/>
      <c r="O250" s="10"/>
    </row>
    <row r="251" spans="1:15" x14ac:dyDescent="0.3">
      <c r="M251" s="10"/>
      <c r="N251" s="5"/>
      <c r="O251" s="10"/>
    </row>
    <row r="252" spans="1:15" x14ac:dyDescent="0.3">
      <c r="M252" s="10"/>
      <c r="N252" s="5"/>
      <c r="O252" s="10"/>
    </row>
    <row r="253" spans="1:15" ht="172.8" x14ac:dyDescent="0.3">
      <c r="A253" s="11" t="s">
        <v>563</v>
      </c>
    </row>
  </sheetData>
  <phoneticPr fontId="5"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 Kreuger</dc:creator>
  <cp:lastModifiedBy>Bram Kreuger</cp:lastModifiedBy>
  <dcterms:created xsi:type="dcterms:W3CDTF">2025-09-18T12:35:38Z</dcterms:created>
  <dcterms:modified xsi:type="dcterms:W3CDTF">2026-01-22T18:36:01Z</dcterms:modified>
</cp:coreProperties>
</file>